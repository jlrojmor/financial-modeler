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0"/>
  <workbookPr filterPrivacy="1"/>
  <xr:revisionPtr revIDLastSave="0" documentId="13_ncr:1_{CE44B607-45C2-EC46-9647-B358CD383CB1}" xr6:coauthVersionLast="47" xr6:coauthVersionMax="47" xr10:uidLastSave="{00000000-0000-0000-0000-000000000000}"/>
  <bookViews>
    <workbookView xWindow="33080" yWindow="-1640" windowWidth="10880" windowHeight="25700" xr2:uid="{00000000-000D-0000-FFFF-FFFF00000000}"/>
  </bookViews>
  <sheets>
    <sheet name="Financial Model" sheetId="1" r:id="rId1"/>
  </sheets>
  <definedNames>
    <definedName name="FM_BS_aoci_B">'Financial Model'!$B$83</definedName>
    <definedName name="FM_BS_aoci_C">'Financial Model'!$C$83</definedName>
    <definedName name="FM_BS_aoci_D">'Financial Model'!$D$83</definedName>
    <definedName name="FM_BS_aoci_E">'Financial Model'!$E$83</definedName>
    <definedName name="FM_BS_aoci_F">'Financial Model'!$F$83</definedName>
    <definedName name="FM_BS_aoci_G">'Financial Model'!$G$83</definedName>
    <definedName name="FM_BS_aoci_H">'Financial Model'!$H$83</definedName>
    <definedName name="FM_BS_ap_B">'Financial Model'!$B$65</definedName>
    <definedName name="FM_BS_ap_C">'Financial Model'!$C$65</definedName>
    <definedName name="FM_BS_ap_D">'Financial Model'!$D$65</definedName>
    <definedName name="FM_BS_ap_E">'Financial Model'!$E$65</definedName>
    <definedName name="FM_BS_ap_F">'Financial Model'!$F$65</definedName>
    <definedName name="FM_BS_ap_G">'Financial Model'!$G$65</definedName>
    <definedName name="FM_BS_ap_H">'Financial Model'!$H$65</definedName>
    <definedName name="FM_BS_apic_B">'Financial Model'!$B$81</definedName>
    <definedName name="FM_BS_apic_C">'Financial Model'!$C$81</definedName>
    <definedName name="FM_BS_apic_D">'Financial Model'!$D$81</definedName>
    <definedName name="FM_BS_apic_E">'Financial Model'!$E$81</definedName>
    <definedName name="FM_BS_apic_F">'Financial Model'!$F$81</definedName>
    <definedName name="FM_BS_apic_G">'Financial Model'!$G$81</definedName>
    <definedName name="FM_BS_apic_H">'Financial Model'!$H$81</definedName>
    <definedName name="FM_BS_ar_B">'Financial Model'!$B$45</definedName>
    <definedName name="FM_BS_ar_C">'Financial Model'!$C$45</definedName>
    <definedName name="FM_BS_ar_D">'Financial Model'!$D$45</definedName>
    <definedName name="FM_BS_ar_E">'Financial Model'!$E$45</definedName>
    <definedName name="FM_BS_ar_F">'Financial Model'!$F$45</definedName>
    <definedName name="FM_BS_ar_G">'Financial Model'!$G$45</definedName>
    <definedName name="FM_BS_ar_H">'Financial Model'!$H$45</definedName>
    <definedName name="FM_BS_bs_id_1769822046403_u0zjs4plt_B">'Financial Model'!$B$72</definedName>
    <definedName name="FM_BS_bs_id_1769822046403_u0zjs4plt_C">'Financial Model'!$C$72</definedName>
    <definedName name="FM_BS_bs_id_1769822046403_u0zjs4plt_D">'Financial Model'!$D$72</definedName>
    <definedName name="FM_BS_bs_id_1769822046403_u0zjs4plt_E">'Financial Model'!$E$72</definedName>
    <definedName name="FM_BS_bs_id_1769822046403_u0zjs4plt_F">'Financial Model'!$F$72</definedName>
    <definedName name="FM_BS_bs_id_1769822046403_u0zjs4plt_G">'Financial Model'!$G$72</definedName>
    <definedName name="FM_BS_bs_id_1769822046403_u0zjs4plt_H">'Financial Model'!$H$72</definedName>
    <definedName name="FM_BS_bs_id_1770048320987_gzfnx4zx9_B">'Financial Model'!$B$48</definedName>
    <definedName name="FM_BS_bs_id_1770048320987_gzfnx4zx9_C">'Financial Model'!$C$48</definedName>
    <definedName name="FM_BS_bs_id_1770048320987_gzfnx4zx9_D">'Financial Model'!$D$48</definedName>
    <definedName name="FM_BS_bs_id_1770048320987_gzfnx4zx9_E">'Financial Model'!$E$48</definedName>
    <definedName name="FM_BS_bs_id_1770048320987_gzfnx4zx9_F">'Financial Model'!$F$48</definedName>
    <definedName name="FM_BS_bs_id_1770048320987_gzfnx4zx9_G">'Financial Model'!$G$48</definedName>
    <definedName name="FM_BS_bs_id_1770048320987_gzfnx4zx9_H">'Financial Model'!$H$48</definedName>
    <definedName name="FM_BS_bs_id_1770048459385_xd7n0csvm_B">'Financial Model'!$B$49</definedName>
    <definedName name="FM_BS_bs_id_1770048459385_xd7n0csvm_C">'Financial Model'!$C$49</definedName>
    <definedName name="FM_BS_bs_id_1770048459385_xd7n0csvm_D">'Financial Model'!$D$49</definedName>
    <definedName name="FM_BS_bs_id_1770048459385_xd7n0csvm_E">'Financial Model'!$E$49</definedName>
    <definedName name="FM_BS_bs_id_1770048459385_xd7n0csvm_F">'Financial Model'!$F$49</definedName>
    <definedName name="FM_BS_bs_id_1770048459385_xd7n0csvm_G">'Financial Model'!$G$49</definedName>
    <definedName name="FM_BS_bs_id_1770048459385_xd7n0csvm_H">'Financial Model'!$H$49</definedName>
    <definedName name="FM_BS_bs_id_1770049941670_jrt887v4i_B">'Financial Model'!$B$50</definedName>
    <definedName name="FM_BS_bs_id_1770049941670_jrt887v4i_C">'Financial Model'!$C$50</definedName>
    <definedName name="FM_BS_bs_id_1770049941670_jrt887v4i_D">'Financial Model'!$D$50</definedName>
    <definedName name="FM_BS_bs_id_1770049941670_jrt887v4i_E">'Financial Model'!$E$50</definedName>
    <definedName name="FM_BS_bs_id_1770049941670_jrt887v4i_F">'Financial Model'!$F$50</definedName>
    <definedName name="FM_BS_bs_id_1770049941670_jrt887v4i_G">'Financial Model'!$G$50</definedName>
    <definedName name="FM_BS_bs_id_1770049941670_jrt887v4i_H">'Financial Model'!$H$50</definedName>
    <definedName name="FM_BS_bs_id_1770056612597_tdw4jdt8l_B">'Financial Model'!$B$58</definedName>
    <definedName name="FM_BS_bs_id_1770056612597_tdw4jdt8l_C">'Financial Model'!$C$58</definedName>
    <definedName name="FM_BS_bs_id_1770056612597_tdw4jdt8l_D">'Financial Model'!$D$58</definedName>
    <definedName name="FM_BS_bs_id_1770056612597_tdw4jdt8l_E">'Financial Model'!$E$58</definedName>
    <definedName name="FM_BS_bs_id_1770056612597_tdw4jdt8l_F">'Financial Model'!$F$58</definedName>
    <definedName name="FM_BS_bs_id_1770056612597_tdw4jdt8l_G">'Financial Model'!$G$58</definedName>
    <definedName name="FM_BS_bs_id_1770056612597_tdw4jdt8l_H">'Financial Model'!$H$58</definedName>
    <definedName name="FM_BS_bs_id_1770056676438_w7yyh3xmw_B">'Financial Model'!$B$59</definedName>
    <definedName name="FM_BS_bs_id_1770056676438_w7yyh3xmw_C">'Financial Model'!$C$59</definedName>
    <definedName name="FM_BS_bs_id_1770056676438_w7yyh3xmw_D">'Financial Model'!$D$59</definedName>
    <definedName name="FM_BS_bs_id_1770056676438_w7yyh3xmw_E">'Financial Model'!$E$59</definedName>
    <definedName name="FM_BS_bs_id_1770056676438_w7yyh3xmw_F">'Financial Model'!$F$59</definedName>
    <definedName name="FM_BS_bs_id_1770056676438_w7yyh3xmw_G">'Financial Model'!$G$59</definedName>
    <definedName name="FM_BS_bs_id_1770056676438_w7yyh3xmw_H">'Financial Model'!$H$59</definedName>
    <definedName name="FM_BS_bs_id_1770056774071_hdym4nxsx_B">'Financial Model'!$B$60</definedName>
    <definedName name="FM_BS_bs_id_1770056774071_hdym4nxsx_C">'Financial Model'!$C$60</definedName>
    <definedName name="FM_BS_bs_id_1770056774071_hdym4nxsx_D">'Financial Model'!$D$60</definedName>
    <definedName name="FM_BS_bs_id_1770056774071_hdym4nxsx_E">'Financial Model'!$E$60</definedName>
    <definedName name="FM_BS_bs_id_1770056774071_hdym4nxsx_F">'Financial Model'!$F$60</definedName>
    <definedName name="FM_BS_bs_id_1770056774071_hdym4nxsx_G">'Financial Model'!$G$60</definedName>
    <definedName name="FM_BS_bs_id_1770056774071_hdym4nxsx_H">'Financial Model'!$H$60</definedName>
    <definedName name="FM_BS_bs_id_1770056988059_zdf3iomrx_B">'Financial Model'!$B$68</definedName>
    <definedName name="FM_BS_bs_id_1770056988059_zdf3iomrx_C">'Financial Model'!$C$68</definedName>
    <definedName name="FM_BS_bs_id_1770056988059_zdf3iomrx_D">'Financial Model'!$D$68</definedName>
    <definedName name="FM_BS_bs_id_1770056988059_zdf3iomrx_E">'Financial Model'!$E$68</definedName>
    <definedName name="FM_BS_bs_id_1770056988059_zdf3iomrx_F">'Financial Model'!$F$68</definedName>
    <definedName name="FM_BS_bs_id_1770056988059_zdf3iomrx_G">'Financial Model'!$G$68</definedName>
    <definedName name="FM_BS_bs_id_1770056988059_zdf3iomrx_H">'Financial Model'!$H$68</definedName>
    <definedName name="FM_BS_cash_B">'Financial Model'!$B$44</definedName>
    <definedName name="FM_BS_cash_C">'Financial Model'!$C$44</definedName>
    <definedName name="FM_BS_cash_D">'Financial Model'!$D$44</definedName>
    <definedName name="FM_BS_cash_E">'Financial Model'!$E$44</definedName>
    <definedName name="FM_BS_cash_F">'Financial Model'!$F$44</definedName>
    <definedName name="FM_BS_cash_G">'Financial Model'!$G$44</definedName>
    <definedName name="FM_BS_cash_H">'Financial Model'!$H$44</definedName>
    <definedName name="FM_BS_common_stock_B">'Financial Model'!$B$78</definedName>
    <definedName name="FM_BS_common_stock_C">'Financial Model'!$C$78</definedName>
    <definedName name="FM_BS_common_stock_D">'Financial Model'!$D$78</definedName>
    <definedName name="FM_BS_common_stock_E">'Financial Model'!$E$78</definedName>
    <definedName name="FM_BS_common_stock_F">'Financial Model'!$F$78</definedName>
    <definedName name="FM_BS_common_stock_G">'Financial Model'!$G$78</definedName>
    <definedName name="FM_BS_common_stock_H">'Financial Model'!$H$78</definedName>
    <definedName name="FM_BS_goodwill_B">'Financial Model'!$B$55</definedName>
    <definedName name="FM_BS_goodwill_C">'Financial Model'!$C$55</definedName>
    <definedName name="FM_BS_goodwill_D">'Financial Model'!$D$55</definedName>
    <definedName name="FM_BS_goodwill_E">'Financial Model'!$E$55</definedName>
    <definedName name="FM_BS_goodwill_F">'Financial Model'!$F$55</definedName>
    <definedName name="FM_BS_goodwill_G">'Financial Model'!$G$55</definedName>
    <definedName name="FM_BS_goodwill_H">'Financial Model'!$H$55</definedName>
    <definedName name="FM_BS_intangible_assets_B">'Financial Model'!$B$56</definedName>
    <definedName name="FM_BS_intangible_assets_C">'Financial Model'!$C$56</definedName>
    <definedName name="FM_BS_intangible_assets_D">'Financial Model'!$D$56</definedName>
    <definedName name="FM_BS_intangible_assets_E">'Financial Model'!$E$56</definedName>
    <definedName name="FM_BS_intangible_assets_F">'Financial Model'!$F$56</definedName>
    <definedName name="FM_BS_intangible_assets_G">'Financial Model'!$G$56</definedName>
    <definedName name="FM_BS_intangible_assets_H">'Financial Model'!$H$56</definedName>
    <definedName name="FM_BS_inventory_B">'Financial Model'!$B$46</definedName>
    <definedName name="FM_BS_inventory_C">'Financial Model'!$C$46</definedName>
    <definedName name="FM_BS_inventory_D">'Financial Model'!$D$46</definedName>
    <definedName name="FM_BS_inventory_E">'Financial Model'!$E$46</definedName>
    <definedName name="FM_BS_inventory_F">'Financial Model'!$F$46</definedName>
    <definedName name="FM_BS_inventory_G">'Financial Model'!$G$46</definedName>
    <definedName name="FM_BS_inventory_H">'Financial Model'!$H$46</definedName>
    <definedName name="FM_BS_lt_debt_B">'Financial Model'!$B$71</definedName>
    <definedName name="FM_BS_lt_debt_C">'Financial Model'!$C$71</definedName>
    <definedName name="FM_BS_lt_debt_D">'Financial Model'!$D$71</definedName>
    <definedName name="FM_BS_lt_debt_E">'Financial Model'!$E$71</definedName>
    <definedName name="FM_BS_lt_debt_F">'Financial Model'!$F$71</definedName>
    <definedName name="FM_BS_lt_debt_G">'Financial Model'!$G$71</definedName>
    <definedName name="FM_BS_lt_debt_H">'Financial Model'!$H$71</definedName>
    <definedName name="FM_BS_other_assets_B">'Financial Model'!$B$57</definedName>
    <definedName name="FM_BS_other_assets_C">'Financial Model'!$C$57</definedName>
    <definedName name="FM_BS_other_assets_D">'Financial Model'!$D$57</definedName>
    <definedName name="FM_BS_other_assets_E">'Financial Model'!$E$57</definedName>
    <definedName name="FM_BS_other_assets_F">'Financial Model'!$F$57</definedName>
    <definedName name="FM_BS_other_assets_G">'Financial Model'!$G$57</definedName>
    <definedName name="FM_BS_other_assets_H">'Financial Model'!$H$57</definedName>
    <definedName name="FM_BS_other_ca_B">'Financial Model'!$B$47</definedName>
    <definedName name="FM_BS_other_ca_C">'Financial Model'!$C$47</definedName>
    <definedName name="FM_BS_other_ca_D">'Financial Model'!$D$47</definedName>
    <definedName name="FM_BS_other_ca_E">'Financial Model'!$E$47</definedName>
    <definedName name="FM_BS_other_ca_F">'Financial Model'!$F$47</definedName>
    <definedName name="FM_BS_other_ca_G">'Financial Model'!$G$47</definedName>
    <definedName name="FM_BS_other_ca_H">'Financial Model'!$H$47</definedName>
    <definedName name="FM_BS_other_cl_B">'Financial Model'!$B$67</definedName>
    <definedName name="FM_BS_other_cl_C">'Financial Model'!$C$67</definedName>
    <definedName name="FM_BS_other_cl_D">'Financial Model'!$D$67</definedName>
    <definedName name="FM_BS_other_cl_E">'Financial Model'!$E$67</definedName>
    <definedName name="FM_BS_other_cl_F">'Financial Model'!$F$67</definedName>
    <definedName name="FM_BS_other_cl_G">'Financial Model'!$G$67</definedName>
    <definedName name="FM_BS_other_cl_H">'Financial Model'!$H$67</definedName>
    <definedName name="FM_BS_other_liab_B">'Financial Model'!$B$73</definedName>
    <definedName name="FM_BS_other_liab_C">'Financial Model'!$C$73</definedName>
    <definedName name="FM_BS_other_liab_D">'Financial Model'!$D$73</definedName>
    <definedName name="FM_BS_other_liab_E">'Financial Model'!$E$73</definedName>
    <definedName name="FM_BS_other_liab_F">'Financial Model'!$F$73</definedName>
    <definedName name="FM_BS_other_liab_G">'Financial Model'!$G$73</definedName>
    <definedName name="FM_BS_other_liab_H">'Financial Model'!$H$73</definedName>
    <definedName name="FM_BS_ppe_B">'Financial Model'!$B$54</definedName>
    <definedName name="FM_BS_ppe_C">'Financial Model'!$C$54</definedName>
    <definedName name="FM_BS_ppe_D">'Financial Model'!$D$54</definedName>
    <definedName name="FM_BS_ppe_E">'Financial Model'!$E$54</definedName>
    <definedName name="FM_BS_ppe_F">'Financial Model'!$F$54</definedName>
    <definedName name="FM_BS_ppe_G">'Financial Model'!$G$54</definedName>
    <definedName name="FM_BS_ppe_H">'Financial Model'!$H$54</definedName>
    <definedName name="FM_BS_preferred_stock_B">'Financial Model'!$B$79</definedName>
    <definedName name="FM_BS_preferred_stock_C">'Financial Model'!$C$79</definedName>
    <definedName name="FM_BS_preferred_stock_D">'Financial Model'!$D$79</definedName>
    <definedName name="FM_BS_preferred_stock_E">'Financial Model'!$E$79</definedName>
    <definedName name="FM_BS_preferred_stock_F">'Financial Model'!$F$79</definedName>
    <definedName name="FM_BS_preferred_stock_G">'Financial Model'!$G$79</definedName>
    <definedName name="FM_BS_preferred_stock_H">'Financial Model'!$H$79</definedName>
    <definedName name="FM_BS_retained_earnings_B">'Financial Model'!$B$80</definedName>
    <definedName name="FM_BS_retained_earnings_C">'Financial Model'!$C$80</definedName>
    <definedName name="FM_BS_retained_earnings_D">'Financial Model'!$D$80</definedName>
    <definedName name="FM_BS_retained_earnings_E">'Financial Model'!$E$80</definedName>
    <definedName name="FM_BS_retained_earnings_F">'Financial Model'!$F$80</definedName>
    <definedName name="FM_BS_retained_earnings_G">'Financial Model'!$G$80</definedName>
    <definedName name="FM_BS_retained_earnings_H">'Financial Model'!$H$80</definedName>
    <definedName name="FM_BS_st_debt_B">'Financial Model'!$B$66</definedName>
    <definedName name="FM_BS_st_debt_C">'Financial Model'!$C$66</definedName>
    <definedName name="FM_BS_st_debt_D">'Financial Model'!$D$66</definedName>
    <definedName name="FM_BS_st_debt_E">'Financial Model'!$E$66</definedName>
    <definedName name="FM_BS_st_debt_F">'Financial Model'!$F$66</definedName>
    <definedName name="FM_BS_st_debt_G">'Financial Model'!$G$66</definedName>
    <definedName name="FM_BS_st_debt_H">'Financial Model'!$H$66</definedName>
    <definedName name="FM_BS_total_assets_B">'Financial Model'!$B$62</definedName>
    <definedName name="FM_BS_total_assets_C">'Financial Model'!$C$62</definedName>
    <definedName name="FM_BS_total_assets_D">'Financial Model'!$D$62</definedName>
    <definedName name="FM_BS_total_assets_E">'Financial Model'!$E$62</definedName>
    <definedName name="FM_BS_total_assets_F">'Financial Model'!$F$62</definedName>
    <definedName name="FM_BS_total_assets_G">'Financial Model'!$G$62</definedName>
    <definedName name="FM_BS_total_assets_H">'Financial Model'!$H$62</definedName>
    <definedName name="FM_BS_total_current_assets_B">'Financial Model'!$B$52</definedName>
    <definedName name="FM_BS_total_current_assets_C">'Financial Model'!$C$52</definedName>
    <definedName name="FM_BS_total_current_assets_D">'Financial Model'!$D$52</definedName>
    <definedName name="FM_BS_total_current_assets_E">'Financial Model'!$E$52</definedName>
    <definedName name="FM_BS_total_current_assets_F">'Financial Model'!$F$52</definedName>
    <definedName name="FM_BS_total_current_assets_G">'Financial Model'!$G$52</definedName>
    <definedName name="FM_BS_total_current_assets_H">'Financial Model'!$H$52</definedName>
    <definedName name="FM_BS_total_current_liabilities_B">'Financial Model'!$B$69</definedName>
    <definedName name="FM_BS_total_current_liabilities_C">'Financial Model'!$C$69</definedName>
    <definedName name="FM_BS_total_current_liabilities_D">'Financial Model'!$D$69</definedName>
    <definedName name="FM_BS_total_current_liabilities_E">'Financial Model'!$E$69</definedName>
    <definedName name="FM_BS_total_current_liabilities_F">'Financial Model'!$F$69</definedName>
    <definedName name="FM_BS_total_current_liabilities_G">'Financial Model'!$G$69</definedName>
    <definedName name="FM_BS_total_current_liabilities_H">'Financial Model'!$H$69</definedName>
    <definedName name="FM_BS_total_equity_B">'Financial Model'!$B$84</definedName>
    <definedName name="FM_BS_total_equity_C">'Financial Model'!$C$84</definedName>
    <definedName name="FM_BS_total_equity_D">'Financial Model'!$D$84</definedName>
    <definedName name="FM_BS_total_equity_E">'Financial Model'!$E$84</definedName>
    <definedName name="FM_BS_total_equity_F">'Financial Model'!$F$84</definedName>
    <definedName name="FM_BS_total_equity_G">'Financial Model'!$G$84</definedName>
    <definedName name="FM_BS_total_equity_H">'Financial Model'!$H$84</definedName>
    <definedName name="FM_BS_total_fixed_assets_B">'Financial Model'!$B$61</definedName>
    <definedName name="FM_BS_total_fixed_assets_C">'Financial Model'!$C$61</definedName>
    <definedName name="FM_BS_total_fixed_assets_D">'Financial Model'!$D$61</definedName>
    <definedName name="FM_BS_total_fixed_assets_E">'Financial Model'!$E$61</definedName>
    <definedName name="FM_BS_total_fixed_assets_F">'Financial Model'!$F$61</definedName>
    <definedName name="FM_BS_total_fixed_assets_G">'Financial Model'!$G$61</definedName>
    <definedName name="FM_BS_total_fixed_assets_H">'Financial Model'!$H$61</definedName>
    <definedName name="FM_BS_total_liab_and_equity_B">'Financial Model'!$B$85</definedName>
    <definedName name="FM_BS_total_liab_and_equity_C">'Financial Model'!$C$85</definedName>
    <definedName name="FM_BS_total_liab_and_equity_D">'Financial Model'!$D$85</definedName>
    <definedName name="FM_BS_total_liab_and_equity_E">'Financial Model'!$E$85</definedName>
    <definedName name="FM_BS_total_liab_and_equity_F">'Financial Model'!$F$85</definedName>
    <definedName name="FM_BS_total_liab_and_equity_G">'Financial Model'!$G$85</definedName>
    <definedName name="FM_BS_total_liab_and_equity_H">'Financial Model'!$H$85</definedName>
    <definedName name="FM_BS_total_liabilities_B">'Financial Model'!$B$75</definedName>
    <definedName name="FM_BS_total_liabilities_C">'Financial Model'!$C$75</definedName>
    <definedName name="FM_BS_total_liabilities_D">'Financial Model'!$D$75</definedName>
    <definedName name="FM_BS_total_liabilities_E">'Financial Model'!$E$75</definedName>
    <definedName name="FM_BS_total_liabilities_F">'Financial Model'!$F$75</definedName>
    <definedName name="FM_BS_total_liabilities_G">'Financial Model'!$G$75</definedName>
    <definedName name="FM_BS_total_liabilities_H">'Financial Model'!$H$75</definedName>
    <definedName name="FM_BS_total_non_current_liabilities_B">'Financial Model'!$B$74</definedName>
    <definedName name="FM_BS_total_non_current_liabilities_C">'Financial Model'!$C$74</definedName>
    <definedName name="FM_BS_total_non_current_liabilities_D">'Financial Model'!$D$74</definedName>
    <definedName name="FM_BS_total_non_current_liabilities_E">'Financial Model'!$E$74</definedName>
    <definedName name="FM_BS_total_non_current_liabilities_F">'Financial Model'!$F$74</definedName>
    <definedName name="FM_BS_total_non_current_liabilities_G">'Financial Model'!$G$74</definedName>
    <definedName name="FM_BS_total_non_current_liabilities_H">'Financial Model'!$H$74</definedName>
    <definedName name="FM_BS_treasury_stock_B">'Financial Model'!$B$82</definedName>
    <definedName name="FM_BS_treasury_stock_C">'Financial Model'!$C$82</definedName>
    <definedName name="FM_BS_treasury_stock_D">'Financial Model'!$D$82</definedName>
    <definedName name="FM_BS_treasury_stock_E">'Financial Model'!$E$82</definedName>
    <definedName name="FM_BS_treasury_stock_F">'Financial Model'!$F$82</definedName>
    <definedName name="FM_BS_treasury_stock_G">'Financial Model'!$G$82</definedName>
    <definedName name="FM_BS_treasury_stock_H">'Financial Model'!$H$82</definedName>
    <definedName name="FM_CFS_ap_B">'Financial Model'!$B$110</definedName>
    <definedName name="FM_CFS_ap_C">'Financial Model'!$C$110</definedName>
    <definedName name="FM_CFS_ap_D">'Financial Model'!$D$110</definedName>
    <definedName name="FM_CFS_ap_E">'Financial Model'!$E$110</definedName>
    <definedName name="FM_CFS_ap_F">'Financial Model'!$F$110</definedName>
    <definedName name="FM_CFS_ap_G">'Financial Model'!$G$110</definedName>
    <definedName name="FM_CFS_ap_H">'Financial Model'!$H$110</definedName>
    <definedName name="FM_CFS_ar_B">'Financial Model'!$B$104</definedName>
    <definedName name="FM_CFS_ar_C">'Financial Model'!$C$104</definedName>
    <definedName name="FM_CFS_ar_D">'Financial Model'!$D$104</definedName>
    <definedName name="FM_CFS_ar_E">'Financial Model'!$E$104</definedName>
    <definedName name="FM_CFS_ar_F">'Financial Model'!$F$104</definedName>
    <definedName name="FM_CFS_ar_G">'Financial Model'!$G$104</definedName>
    <definedName name="FM_CFS_ar_H">'Financial Model'!$H$104</definedName>
    <definedName name="FM_CFS_bs_id_1770048320987_gzfnx4zx9_B">'Financial Model'!$B$107</definedName>
    <definedName name="FM_CFS_bs_id_1770048320987_gzfnx4zx9_C">'Financial Model'!$C$107</definedName>
    <definedName name="FM_CFS_bs_id_1770048320987_gzfnx4zx9_D">'Financial Model'!$D$107</definedName>
    <definedName name="FM_CFS_bs_id_1770048320987_gzfnx4zx9_E">'Financial Model'!$E$107</definedName>
    <definedName name="FM_CFS_bs_id_1770048320987_gzfnx4zx9_F">'Financial Model'!$F$107</definedName>
    <definedName name="FM_CFS_bs_id_1770048320987_gzfnx4zx9_G">'Financial Model'!$G$107</definedName>
    <definedName name="FM_CFS_bs_id_1770048320987_gzfnx4zx9_H">'Financial Model'!$H$107</definedName>
    <definedName name="FM_CFS_bs_id_1770048459385_xd7n0csvm_B">'Financial Model'!$B$108</definedName>
    <definedName name="FM_CFS_bs_id_1770048459385_xd7n0csvm_C">'Financial Model'!$C$108</definedName>
    <definedName name="FM_CFS_bs_id_1770048459385_xd7n0csvm_D">'Financial Model'!$D$108</definedName>
    <definedName name="FM_CFS_bs_id_1770048459385_xd7n0csvm_E">'Financial Model'!$E$108</definedName>
    <definedName name="FM_CFS_bs_id_1770048459385_xd7n0csvm_F">'Financial Model'!$F$108</definedName>
    <definedName name="FM_CFS_bs_id_1770048459385_xd7n0csvm_G">'Financial Model'!$G$108</definedName>
    <definedName name="FM_CFS_bs_id_1770048459385_xd7n0csvm_H">'Financial Model'!$H$108</definedName>
    <definedName name="FM_CFS_bs_id_1770049941670_jrt887v4i_B">'Financial Model'!$B$109</definedName>
    <definedName name="FM_CFS_bs_id_1770049941670_jrt887v4i_C">'Financial Model'!$C$109</definedName>
    <definedName name="FM_CFS_bs_id_1770049941670_jrt887v4i_D">'Financial Model'!$D$109</definedName>
    <definedName name="FM_CFS_bs_id_1770049941670_jrt887v4i_E">'Financial Model'!$E$109</definedName>
    <definedName name="FM_CFS_bs_id_1770049941670_jrt887v4i_F">'Financial Model'!$F$109</definedName>
    <definedName name="FM_CFS_bs_id_1770049941670_jrt887v4i_G">'Financial Model'!$G$109</definedName>
    <definedName name="FM_CFS_bs_id_1770049941670_jrt887v4i_H">'Financial Model'!$H$109</definedName>
    <definedName name="FM_CFS_bs_id_1770056988059_zdf3iomrx_B">'Financial Model'!$B$112</definedName>
    <definedName name="FM_CFS_bs_id_1770056988059_zdf3iomrx_C">'Financial Model'!$C$112</definedName>
    <definedName name="FM_CFS_bs_id_1770056988059_zdf3iomrx_D">'Financial Model'!$D$112</definedName>
    <definedName name="FM_CFS_bs_id_1770056988059_zdf3iomrx_E">'Financial Model'!$E$112</definedName>
    <definedName name="FM_CFS_bs_id_1770056988059_zdf3iomrx_F">'Financial Model'!$F$112</definedName>
    <definedName name="FM_CFS_bs_id_1770056988059_zdf3iomrx_G">'Financial Model'!$G$112</definedName>
    <definedName name="FM_CFS_bs_id_1770056988059_zdf3iomrx_H">'Financial Model'!$H$112</definedName>
    <definedName name="FM_CFS_capex_B">'Financial Model'!$B$116</definedName>
    <definedName name="FM_CFS_capex_C">'Financial Model'!$C$116</definedName>
    <definedName name="FM_CFS_capex_D">'Financial Model'!$D$116</definedName>
    <definedName name="FM_CFS_capex_E">'Financial Model'!$E$116</definedName>
    <definedName name="FM_CFS_capex_F">'Financial Model'!$F$116</definedName>
    <definedName name="FM_CFS_capex_G">'Financial Model'!$G$116</definedName>
    <definedName name="FM_CFS_capex_H">'Financial Model'!$H$116</definedName>
    <definedName name="FM_CFS_danda_B">'Financial Model'!$B$99</definedName>
    <definedName name="FM_CFS_danda_C">'Financial Model'!$C$99</definedName>
    <definedName name="FM_CFS_danda_D">'Financial Model'!$D$99</definedName>
    <definedName name="FM_CFS_danda_E">'Financial Model'!$E$99</definedName>
    <definedName name="FM_CFS_danda_F">'Financial Model'!$F$99</definedName>
    <definedName name="FM_CFS_danda_G">'Financial Model'!$G$99</definedName>
    <definedName name="FM_CFS_danda_H">'Financial Model'!$H$99</definedName>
    <definedName name="FM_CFS_financing_cf_B">'Financial Model'!$B$130</definedName>
    <definedName name="FM_CFS_financing_cf_C">'Financial Model'!$C$130</definedName>
    <definedName name="FM_CFS_financing_cf_D">'Financial Model'!$D$130</definedName>
    <definedName name="FM_CFS_financing_cf_E">'Financial Model'!$E$130</definedName>
    <definedName name="FM_CFS_financing_cf_F">'Financial Model'!$F$130</definedName>
    <definedName name="FM_CFS_financing_cf_G">'Financial Model'!$G$130</definedName>
    <definedName name="FM_CFS_financing_cf_H">'Financial Model'!$H$130</definedName>
    <definedName name="FM_CFS_id_1771352763120_oo8qt2qsd_B">'Financial Model'!$B$102</definedName>
    <definedName name="FM_CFS_id_1771352763120_oo8qt2qsd_C">'Financial Model'!$C$102</definedName>
    <definedName name="FM_CFS_id_1771352763120_oo8qt2qsd_D">'Financial Model'!$D$102</definedName>
    <definedName name="FM_CFS_id_1771352763120_oo8qt2qsd_E">'Financial Model'!$E$102</definedName>
    <definedName name="FM_CFS_id_1771352763120_oo8qt2qsd_F">'Financial Model'!$F$102</definedName>
    <definedName name="FM_CFS_id_1771352763120_oo8qt2qsd_G">'Financial Model'!$G$102</definedName>
    <definedName name="FM_CFS_id_1771352763120_oo8qt2qsd_H">'Financial Model'!$H$102</definedName>
    <definedName name="FM_CFS_id_1771352930655_smkspqtp8_B">'Financial Model'!$B$100</definedName>
    <definedName name="FM_CFS_id_1771352930655_smkspqtp8_C">'Financial Model'!$C$100</definedName>
    <definedName name="FM_CFS_id_1771352930655_smkspqtp8_D">'Financial Model'!$D$100</definedName>
    <definedName name="FM_CFS_id_1771352930655_smkspqtp8_E">'Financial Model'!$E$100</definedName>
    <definedName name="FM_CFS_id_1771352930655_smkspqtp8_F">'Financial Model'!$F$100</definedName>
    <definedName name="FM_CFS_id_1771352930655_smkspqtp8_G">'Financial Model'!$G$100</definedName>
    <definedName name="FM_CFS_id_1771352930655_smkspqtp8_H">'Financial Model'!$H$100</definedName>
    <definedName name="FM_CFS_id_1771428255833_lbl4wgibm_B">'Financial Model'!$B$117</definedName>
    <definedName name="FM_CFS_id_1771428255833_lbl4wgibm_C">'Financial Model'!$C$117</definedName>
    <definedName name="FM_CFS_id_1771428255833_lbl4wgibm_D">'Financial Model'!$D$117</definedName>
    <definedName name="FM_CFS_id_1771428255833_lbl4wgibm_E">'Financial Model'!$E$117</definedName>
    <definedName name="FM_CFS_id_1771428255833_lbl4wgibm_F">'Financial Model'!$F$117</definedName>
    <definedName name="FM_CFS_id_1771428255833_lbl4wgibm_G">'Financial Model'!$G$117</definedName>
    <definedName name="FM_CFS_id_1771428255833_lbl4wgibm_H">'Financial Model'!$H$117</definedName>
    <definedName name="FM_CFS_id_1771428842567_4na667m9h_B">'Financial Model'!$B$118</definedName>
    <definedName name="FM_CFS_id_1771428842567_4na667m9h_C">'Financial Model'!$C$118</definedName>
    <definedName name="FM_CFS_id_1771428842567_4na667m9h_D">'Financial Model'!$D$118</definedName>
    <definedName name="FM_CFS_id_1771428842567_4na667m9h_E">'Financial Model'!$E$118</definedName>
    <definedName name="FM_CFS_id_1771428842567_4na667m9h_F">'Financial Model'!$F$118</definedName>
    <definedName name="FM_CFS_id_1771428842567_4na667m9h_G">'Financial Model'!$G$118</definedName>
    <definedName name="FM_CFS_id_1771428842567_4na667m9h_H">'Financial Model'!$H$118</definedName>
    <definedName name="FM_CFS_id_1771428882420_cgsr9rtt5_B">'Financial Model'!$B$119</definedName>
    <definedName name="FM_CFS_id_1771428882420_cgsr9rtt5_C">'Financial Model'!$C$119</definedName>
    <definedName name="FM_CFS_id_1771428882420_cgsr9rtt5_D">'Financial Model'!$D$119</definedName>
    <definedName name="FM_CFS_id_1771428882420_cgsr9rtt5_E">'Financial Model'!$E$119</definedName>
    <definedName name="FM_CFS_id_1771428882420_cgsr9rtt5_F">'Financial Model'!$F$119</definedName>
    <definedName name="FM_CFS_id_1771428882420_cgsr9rtt5_G">'Financial Model'!$G$119</definedName>
    <definedName name="FM_CFS_id_1771428882420_cgsr9rtt5_H">'Financial Model'!$H$119</definedName>
    <definedName name="FM_CFS_id_1771428920458_g06br6rjn_B">'Financial Model'!$B$120</definedName>
    <definedName name="FM_CFS_id_1771428920458_g06br6rjn_C">'Financial Model'!$C$120</definedName>
    <definedName name="FM_CFS_id_1771428920458_g06br6rjn_D">'Financial Model'!$D$120</definedName>
    <definedName name="FM_CFS_id_1771428920458_g06br6rjn_E">'Financial Model'!$E$120</definedName>
    <definedName name="FM_CFS_id_1771428920458_g06br6rjn_F">'Financial Model'!$F$120</definedName>
    <definedName name="FM_CFS_id_1771428920458_g06br6rjn_G">'Financial Model'!$G$120</definedName>
    <definedName name="FM_CFS_id_1771428920458_g06br6rjn_H">'Financial Model'!$H$120</definedName>
    <definedName name="FM_CFS_id_1771428946050_afi3mb9kb_B">'Financial Model'!$B$121</definedName>
    <definedName name="FM_CFS_id_1771428946050_afi3mb9kb_C">'Financial Model'!$C$121</definedName>
    <definedName name="FM_CFS_id_1771428946050_afi3mb9kb_D">'Financial Model'!$D$121</definedName>
    <definedName name="FM_CFS_id_1771428946050_afi3mb9kb_E">'Financial Model'!$E$121</definedName>
    <definedName name="FM_CFS_id_1771428946050_afi3mb9kb_F">'Financial Model'!$F$121</definedName>
    <definedName name="FM_CFS_id_1771428946050_afi3mb9kb_G">'Financial Model'!$G$121</definedName>
    <definedName name="FM_CFS_id_1771428946050_afi3mb9kb_H">'Financial Model'!$H$121</definedName>
    <definedName name="FM_CFS_id_1771428966555_ovnjkj9s9_B">'Financial Model'!$B$122</definedName>
    <definedName name="FM_CFS_id_1771428966555_ovnjkj9s9_C">'Financial Model'!$C$122</definedName>
    <definedName name="FM_CFS_id_1771428966555_ovnjkj9s9_D">'Financial Model'!$D$122</definedName>
    <definedName name="FM_CFS_id_1771428966555_ovnjkj9s9_E">'Financial Model'!$E$122</definedName>
    <definedName name="FM_CFS_id_1771428966555_ovnjkj9s9_F">'Financial Model'!$F$122</definedName>
    <definedName name="FM_CFS_id_1771428966555_ovnjkj9s9_G">'Financial Model'!$G$122</definedName>
    <definedName name="FM_CFS_id_1771428966555_ovnjkj9s9_H">'Financial Model'!$H$122</definedName>
    <definedName name="FM_CFS_id_1771430083743_61t4goaev_B">'Financial Model'!$B$113</definedName>
    <definedName name="FM_CFS_id_1771430083743_61t4goaev_C">'Financial Model'!$C$113</definedName>
    <definedName name="FM_CFS_id_1771430083743_61t4goaev_D">'Financial Model'!$D$113</definedName>
    <definedName name="FM_CFS_id_1771430083743_61t4goaev_E">'Financial Model'!$E$113</definedName>
    <definedName name="FM_CFS_id_1771430083743_61t4goaev_F">'Financial Model'!$F$113</definedName>
    <definedName name="FM_CFS_id_1771430083743_61t4goaev_G">'Financial Model'!$G$113</definedName>
    <definedName name="FM_CFS_id_1771430083743_61t4goaev_H">'Financial Model'!$H$113</definedName>
    <definedName name="FM_CFS_id_1771430988199_pjs7gqnl7_B">'Financial Model'!$B$125</definedName>
    <definedName name="FM_CFS_id_1771430988199_pjs7gqnl7_C">'Financial Model'!$C$125</definedName>
    <definedName name="FM_CFS_id_1771430988199_pjs7gqnl7_D">'Financial Model'!$D$125</definedName>
    <definedName name="FM_CFS_id_1771430988199_pjs7gqnl7_E">'Financial Model'!$E$125</definedName>
    <definedName name="FM_CFS_id_1771430988199_pjs7gqnl7_F">'Financial Model'!$F$125</definedName>
    <definedName name="FM_CFS_id_1771430988199_pjs7gqnl7_G">'Financial Model'!$G$125</definedName>
    <definedName name="FM_CFS_id_1771430988199_pjs7gqnl7_H">'Financial Model'!$H$125</definedName>
    <definedName name="FM_CFS_id_1771431004679_cz46ze7y6_B">'Financial Model'!$B$126</definedName>
    <definedName name="FM_CFS_id_1771431004679_cz46ze7y6_C">'Financial Model'!$C$126</definedName>
    <definedName name="FM_CFS_id_1771431004679_cz46ze7y6_D">'Financial Model'!$D$126</definedName>
    <definedName name="FM_CFS_id_1771431004679_cz46ze7y6_E">'Financial Model'!$E$126</definedName>
    <definedName name="FM_CFS_id_1771431004679_cz46ze7y6_F">'Financial Model'!$F$126</definedName>
    <definedName name="FM_CFS_id_1771431004679_cz46ze7y6_G">'Financial Model'!$G$126</definedName>
    <definedName name="FM_CFS_id_1771431004679_cz46ze7y6_H">'Financial Model'!$H$126</definedName>
    <definedName name="FM_CFS_id_1771431012979_rm61128jv_B">'Financial Model'!$B$127</definedName>
    <definedName name="FM_CFS_id_1771431012979_rm61128jv_C">'Financial Model'!$C$127</definedName>
    <definedName name="FM_CFS_id_1771431012979_rm61128jv_D">'Financial Model'!$D$127</definedName>
    <definedName name="FM_CFS_id_1771431012979_rm61128jv_E">'Financial Model'!$E$127</definedName>
    <definedName name="FM_CFS_id_1771431012979_rm61128jv_F">'Financial Model'!$F$127</definedName>
    <definedName name="FM_CFS_id_1771431012979_rm61128jv_G">'Financial Model'!$G$127</definedName>
    <definedName name="FM_CFS_id_1771431012979_rm61128jv_H">'Financial Model'!$H$127</definedName>
    <definedName name="FM_CFS_id_1771431036181_zvzg0efid_B">'Financial Model'!$B$128</definedName>
    <definedName name="FM_CFS_id_1771431036181_zvzg0efid_C">'Financial Model'!$C$128</definedName>
    <definedName name="FM_CFS_id_1771431036181_zvzg0efid_D">'Financial Model'!$D$128</definedName>
    <definedName name="FM_CFS_id_1771431036181_zvzg0efid_E">'Financial Model'!$E$128</definedName>
    <definedName name="FM_CFS_id_1771431036181_zvzg0efid_F">'Financial Model'!$F$128</definedName>
    <definedName name="FM_CFS_id_1771431036181_zvzg0efid_G">'Financial Model'!$G$128</definedName>
    <definedName name="FM_CFS_id_1771431036181_zvzg0efid_H">'Financial Model'!$H$128</definedName>
    <definedName name="FM_CFS_id_1771431039872_9ks8dgrmo_B">'Financial Model'!$B$129</definedName>
    <definedName name="FM_CFS_id_1771431039872_9ks8dgrmo_C">'Financial Model'!$C$129</definedName>
    <definedName name="FM_CFS_id_1771431039872_9ks8dgrmo_D">'Financial Model'!$D$129</definedName>
    <definedName name="FM_CFS_id_1771431039872_9ks8dgrmo_E">'Financial Model'!$E$129</definedName>
    <definedName name="FM_CFS_id_1771431039872_9ks8dgrmo_F">'Financial Model'!$F$129</definedName>
    <definedName name="FM_CFS_id_1771431039872_9ks8dgrmo_G">'Financial Model'!$G$129</definedName>
    <definedName name="FM_CFS_id_1771431039872_9ks8dgrmo_H">'Financial Model'!$H$129</definedName>
    <definedName name="FM_CFS_inventory_B">'Financial Model'!$B$105</definedName>
    <definedName name="FM_CFS_inventory_C">'Financial Model'!$C$105</definedName>
    <definedName name="FM_CFS_inventory_D">'Financial Model'!$D$105</definedName>
    <definedName name="FM_CFS_inventory_E">'Financial Model'!$E$105</definedName>
    <definedName name="FM_CFS_inventory_F">'Financial Model'!$F$105</definedName>
    <definedName name="FM_CFS_inventory_G">'Financial Model'!$G$105</definedName>
    <definedName name="FM_CFS_inventory_H">'Financial Model'!$H$105</definedName>
    <definedName name="FM_CFS_investing_cf_B">'Financial Model'!$B$123</definedName>
    <definedName name="FM_CFS_investing_cf_C">'Financial Model'!$C$123</definedName>
    <definedName name="FM_CFS_investing_cf_D">'Financial Model'!$D$123</definedName>
    <definedName name="FM_CFS_investing_cf_E">'Financial Model'!$E$123</definedName>
    <definedName name="FM_CFS_investing_cf_F">'Financial Model'!$F$123</definedName>
    <definedName name="FM_CFS_investing_cf_G">'Financial Model'!$G$123</definedName>
    <definedName name="FM_CFS_investing_cf_H">'Financial Model'!$H$123</definedName>
    <definedName name="FM_CFS_net_change_cash_B">'Financial Model'!$B$131</definedName>
    <definedName name="FM_CFS_net_change_cash_C">'Financial Model'!$C$131</definedName>
    <definedName name="FM_CFS_net_change_cash_D">'Financial Model'!$D$131</definedName>
    <definedName name="FM_CFS_net_change_cash_E">'Financial Model'!$E$131</definedName>
    <definedName name="FM_CFS_net_change_cash_F">'Financial Model'!$F$131</definedName>
    <definedName name="FM_CFS_net_change_cash_G">'Financial Model'!$G$131</definedName>
    <definedName name="FM_CFS_net_change_cash_H">'Financial Model'!$H$131</definedName>
    <definedName name="FM_CFS_net_income_B">'Financial Model'!$B$98</definedName>
    <definedName name="FM_CFS_net_income_C">'Financial Model'!$C$98</definedName>
    <definedName name="FM_CFS_net_income_D">'Financial Model'!$D$98</definedName>
    <definedName name="FM_CFS_net_income_E">'Financial Model'!$E$98</definedName>
    <definedName name="FM_CFS_net_income_F">'Financial Model'!$F$98</definedName>
    <definedName name="FM_CFS_net_income_G">'Financial Model'!$G$98</definedName>
    <definedName name="FM_CFS_net_income_H">'Financial Model'!$H$98</definedName>
    <definedName name="FM_CFS_operating_cf_B">'Financial Model'!$B$114</definedName>
    <definedName name="FM_CFS_operating_cf_C">'Financial Model'!$C$114</definedName>
    <definedName name="FM_CFS_operating_cf_D">'Financial Model'!$D$114</definedName>
    <definedName name="FM_CFS_operating_cf_E">'Financial Model'!$E$114</definedName>
    <definedName name="FM_CFS_operating_cf_F">'Financial Model'!$F$114</definedName>
    <definedName name="FM_CFS_operating_cf_G">'Financial Model'!$G$114</definedName>
    <definedName name="FM_CFS_operating_cf_H">'Financial Model'!$H$114</definedName>
    <definedName name="FM_CFS_other_ca_B">'Financial Model'!$B$106</definedName>
    <definedName name="FM_CFS_other_ca_C">'Financial Model'!$C$106</definedName>
    <definedName name="FM_CFS_other_ca_D">'Financial Model'!$D$106</definedName>
    <definedName name="FM_CFS_other_ca_E">'Financial Model'!$E$106</definedName>
    <definedName name="FM_CFS_other_ca_F">'Financial Model'!$F$106</definedName>
    <definedName name="FM_CFS_other_ca_G">'Financial Model'!$G$106</definedName>
    <definedName name="FM_CFS_other_ca_H">'Financial Model'!$H$106</definedName>
    <definedName name="FM_CFS_other_cl_B">'Financial Model'!$B$111</definedName>
    <definedName name="FM_CFS_other_cl_C">'Financial Model'!$C$111</definedName>
    <definedName name="FM_CFS_other_cl_D">'Financial Model'!$D$111</definedName>
    <definedName name="FM_CFS_other_cl_E">'Financial Model'!$E$111</definedName>
    <definedName name="FM_CFS_other_cl_F">'Financial Model'!$F$111</definedName>
    <definedName name="FM_CFS_other_cl_G">'Financial Model'!$G$111</definedName>
    <definedName name="FM_CFS_other_cl_H">'Financial Model'!$H$111</definedName>
    <definedName name="FM_CFS_sbc_B">'Financial Model'!$B$101</definedName>
    <definedName name="FM_CFS_sbc_C">'Financial Model'!$C$101</definedName>
    <definedName name="FM_CFS_sbc_D">'Financial Model'!$D$101</definedName>
    <definedName name="FM_CFS_sbc_E">'Financial Model'!$E$101</definedName>
    <definedName name="FM_CFS_sbc_F">'Financial Model'!$F$101</definedName>
    <definedName name="FM_CFS_sbc_G">'Financial Model'!$G$101</definedName>
    <definedName name="FM_CFS_sbc_H">'Financial Model'!$H$101</definedName>
    <definedName name="FM_CFS_wc_change_B">'Financial Model'!$B$103</definedName>
    <definedName name="FM_CFS_wc_change_C">'Financial Model'!$C$103</definedName>
    <definedName name="FM_CFS_wc_change_D">'Financial Model'!$D$103</definedName>
    <definedName name="FM_CFS_wc_change_E">'Financial Model'!$E$103</definedName>
    <definedName name="FM_CFS_wc_change_F">'Financial Model'!$F$103</definedName>
    <definedName name="FM_CFS_wc_change_G">'Financial Model'!$G$103</definedName>
    <definedName name="FM_CFS_wc_change_H">'Financial Model'!$H$103</definedName>
    <definedName name="FM_IS_cogs_B">'Financial Model'!$B$7</definedName>
    <definedName name="FM_IS_cogs_C">'Financial Model'!$C$7</definedName>
    <definedName name="FM_IS_cogs_D">'Financial Model'!$D$7</definedName>
    <definedName name="FM_IS_cogs_E">'Financial Model'!$E$7</definedName>
    <definedName name="FM_IS_cogs_F">'Financial Model'!$F$7</definedName>
    <definedName name="FM_IS_cogs_G">'Financial Model'!$G$7</definedName>
    <definedName name="FM_IS_cogs_H">'Financial Model'!$H$7</definedName>
    <definedName name="FM_IS_ebit_B">'Financial Model'!$B$17</definedName>
    <definedName name="FM_IS_ebit_C">'Financial Model'!$C$17</definedName>
    <definedName name="FM_IS_ebit_D">'Financial Model'!$D$17</definedName>
    <definedName name="FM_IS_ebit_E">'Financial Model'!$E$17</definedName>
    <definedName name="FM_IS_ebit_F">'Financial Model'!$F$17</definedName>
    <definedName name="FM_IS_ebit_G">'Financial Model'!$G$17</definedName>
    <definedName name="FM_IS_ebit_H">'Financial Model'!$H$17</definedName>
    <definedName name="FM_IS_ebit_margin_B">'Financial Model'!$B$18</definedName>
    <definedName name="FM_IS_ebit_margin_C">'Financial Model'!$C$18</definedName>
    <definedName name="FM_IS_ebit_margin_D">'Financial Model'!$D$18</definedName>
    <definedName name="FM_IS_ebit_margin_E">'Financial Model'!$E$18</definedName>
    <definedName name="FM_IS_ebit_margin_F">'Financial Model'!$F$18</definedName>
    <definedName name="FM_IS_ebit_margin_G">'Financial Model'!$G$18</definedName>
    <definedName name="FM_IS_ebit_margin_H">'Financial Model'!$H$18</definedName>
    <definedName name="FM_IS_ebt_B">'Financial Model'!$B$23</definedName>
    <definedName name="FM_IS_ebt_C">'Financial Model'!$C$23</definedName>
    <definedName name="FM_IS_ebt_D">'Financial Model'!$D$23</definedName>
    <definedName name="FM_IS_ebt_E">'Financial Model'!$E$23</definedName>
    <definedName name="FM_IS_ebt_F">'Financial Model'!$F$23</definedName>
    <definedName name="FM_IS_ebt_G">'Financial Model'!$G$23</definedName>
    <definedName name="FM_IS_ebt_H">'Financial Model'!$H$23</definedName>
    <definedName name="FM_IS_gross_margin_B">'Financial Model'!$B$11</definedName>
    <definedName name="FM_IS_gross_margin_C">'Financial Model'!$C$11</definedName>
    <definedName name="FM_IS_gross_margin_D">'Financial Model'!$D$11</definedName>
    <definedName name="FM_IS_gross_margin_E">'Financial Model'!$E$11</definedName>
    <definedName name="FM_IS_gross_margin_F">'Financial Model'!$F$11</definedName>
    <definedName name="FM_IS_gross_margin_G">'Financial Model'!$G$11</definedName>
    <definedName name="FM_IS_gross_margin_H">'Financial Model'!$H$11</definedName>
    <definedName name="FM_IS_gross_profit_B">'Financial Model'!$B$10</definedName>
    <definedName name="FM_IS_gross_profit_C">'Financial Model'!$C$10</definedName>
    <definedName name="FM_IS_gross_profit_D">'Financial Model'!$D$10</definedName>
    <definedName name="FM_IS_gross_profit_E">'Financial Model'!$E$10</definedName>
    <definedName name="FM_IS_gross_profit_F">'Financial Model'!$F$10</definedName>
    <definedName name="FM_IS_gross_profit_G">'Financial Model'!$G$10</definedName>
    <definedName name="FM_IS_gross_profit_H">'Financial Model'!$H$10</definedName>
    <definedName name="FM_IS_id_5f4ef998193e5_1769919098857_B">'Financial Model'!$B$5</definedName>
    <definedName name="FM_IS_id_5f4ef998193e5_1769919098857_C">'Financial Model'!$C$5</definedName>
    <definedName name="FM_IS_id_5f4ef998193e5_1769919098857_D">'Financial Model'!$D$5</definedName>
    <definedName name="FM_IS_id_5f4ef998193e5_1769919098857_E">'Financial Model'!$E$5</definedName>
    <definedName name="FM_IS_id_5f4ef998193e5_1769919098857_F">'Financial Model'!$F$5</definedName>
    <definedName name="FM_IS_id_5f4ef998193e5_1769919098857_G">'Financial Model'!$G$5</definedName>
    <definedName name="FM_IS_id_5f4ef998193e5_1769919098857_H">'Financial Model'!$H$5</definedName>
    <definedName name="FM_IS_id_6e25c0c0ed1778_1769919367840_B">'Financial Model'!$B$16</definedName>
    <definedName name="FM_IS_id_6e25c0c0ed1778_1769919367840_C">'Financial Model'!$C$16</definedName>
    <definedName name="FM_IS_id_6e25c0c0ed1778_1769919367840_D">'Financial Model'!$D$16</definedName>
    <definedName name="FM_IS_id_6e25c0c0ed1778_1769919367840_E">'Financial Model'!$E$16</definedName>
    <definedName name="FM_IS_id_6e25c0c0ed1778_1769919367840_F">'Financial Model'!$F$16</definedName>
    <definedName name="FM_IS_id_6e25c0c0ed1778_1769919367840_G">'Financial Model'!$G$16</definedName>
    <definedName name="FM_IS_id_6e25c0c0ed1778_1769919367840_H">'Financial Model'!$H$16</definedName>
    <definedName name="FM_IS_id_a3b0136aee49f8_1769919326158_B">'Financial Model'!$B$13</definedName>
    <definedName name="FM_IS_id_a3b0136aee49f8_1769919326158_C">'Financial Model'!$C$13</definedName>
    <definedName name="FM_IS_id_a3b0136aee49f8_1769919326158_D">'Financial Model'!$D$13</definedName>
    <definedName name="FM_IS_id_a3b0136aee49f8_1769919326158_E">'Financial Model'!$E$13</definedName>
    <definedName name="FM_IS_id_a3b0136aee49f8_1769919326158_F">'Financial Model'!$F$13</definedName>
    <definedName name="FM_IS_id_a3b0136aee49f8_1769919326158_G">'Financial Model'!$G$13</definedName>
    <definedName name="FM_IS_id_a3b0136aee49f8_1769919326158_H">'Financial Model'!$H$13</definedName>
    <definedName name="FM_IS_id_ae335ad71f8b3_1769919098873_B">'Financial Model'!$B$8</definedName>
    <definedName name="FM_IS_id_ae335ad71f8b3_1769919098873_C">'Financial Model'!$C$8</definedName>
    <definedName name="FM_IS_id_ae335ad71f8b3_1769919098873_D">'Financial Model'!$D$8</definedName>
    <definedName name="FM_IS_id_ae335ad71f8b3_1769919098873_E">'Financial Model'!$E$8</definedName>
    <definedName name="FM_IS_id_ae335ad71f8b3_1769919098873_F">'Financial Model'!$F$8</definedName>
    <definedName name="FM_IS_id_ae335ad71f8b3_1769919098873_G">'Financial Model'!$G$8</definedName>
    <definedName name="FM_IS_id_ae335ad71f8b3_1769919098873_H">'Financial Model'!$H$8</definedName>
    <definedName name="FM_IS_id_b3a950f679ed8_1769919133416_B">'Financial Model'!$B$6</definedName>
    <definedName name="FM_IS_id_b3a950f679ed8_1769919133416_C">'Financial Model'!$C$6</definedName>
    <definedName name="FM_IS_id_b3a950f679ed8_1769919133416_D">'Financial Model'!$D$6</definedName>
    <definedName name="FM_IS_id_b3a950f679ed8_1769919133416_E">'Financial Model'!$E$6</definedName>
    <definedName name="FM_IS_id_b3a950f679ed8_1769919133416_F">'Financial Model'!$F$6</definedName>
    <definedName name="FM_IS_id_b3a950f679ed8_1769919133416_G">'Financial Model'!$G$6</definedName>
    <definedName name="FM_IS_id_b3a950f679ed8_1769919133416_H">'Financial Model'!$H$6</definedName>
    <definedName name="FM_IS_id_cb758e4a957468_1769919339151_B">'Financial Model'!$B$14</definedName>
    <definedName name="FM_IS_id_cb758e4a957468_1769919339151_C">'Financial Model'!$C$14</definedName>
    <definedName name="FM_IS_id_cb758e4a957468_1769919339151_D">'Financial Model'!$D$14</definedName>
    <definedName name="FM_IS_id_cb758e4a957468_1769919339151_E">'Financial Model'!$E$14</definedName>
    <definedName name="FM_IS_id_cb758e4a957468_1769919339151_F">'Financial Model'!$F$14</definedName>
    <definedName name="FM_IS_id_cb758e4a957468_1769919339151_G">'Financial Model'!$G$14</definedName>
    <definedName name="FM_IS_id_cb758e4a957468_1769919339151_H">'Financial Model'!$H$14</definedName>
    <definedName name="FM_IS_id_da10ab5b16bae8_1769919353328_B">'Financial Model'!$B$15</definedName>
    <definedName name="FM_IS_id_da10ab5b16bae8_1769919353328_C">'Financial Model'!$C$15</definedName>
    <definedName name="FM_IS_id_da10ab5b16bae8_1769919353328_D">'Financial Model'!$D$15</definedName>
    <definedName name="FM_IS_id_da10ab5b16bae8_1769919353328_E">'Financial Model'!$E$15</definedName>
    <definedName name="FM_IS_id_da10ab5b16bae8_1769919353328_F">'Financial Model'!$F$15</definedName>
    <definedName name="FM_IS_id_da10ab5b16bae8_1769919353328_G">'Financial Model'!$G$15</definedName>
    <definedName name="FM_IS_id_da10ab5b16bae8_1769919353328_H">'Financial Model'!$H$15</definedName>
    <definedName name="FM_IS_id_f1d03057ac5e28_1769919133420_B">'Financial Model'!$B$9</definedName>
    <definedName name="FM_IS_id_f1d03057ac5e28_1769919133420_C">'Financial Model'!$C$9</definedName>
    <definedName name="FM_IS_id_f1d03057ac5e28_1769919133420_D">'Financial Model'!$D$9</definedName>
    <definedName name="FM_IS_id_f1d03057ac5e28_1769919133420_E">'Financial Model'!$E$9</definedName>
    <definedName name="FM_IS_id_f1d03057ac5e28_1769919133420_F">'Financial Model'!$F$9</definedName>
    <definedName name="FM_IS_id_f1d03057ac5e28_1769919133420_G">'Financial Model'!$G$9</definedName>
    <definedName name="FM_IS_id_f1d03057ac5e28_1769919133420_H">'Financial Model'!$H$9</definedName>
    <definedName name="FM_IS_interest_expense_B">'Financial Model'!$B$19</definedName>
    <definedName name="FM_IS_interest_expense_C">'Financial Model'!$C$19</definedName>
    <definedName name="FM_IS_interest_expense_D">'Financial Model'!$D$19</definedName>
    <definedName name="FM_IS_interest_expense_E">'Financial Model'!$E$19</definedName>
    <definedName name="FM_IS_interest_expense_F">'Financial Model'!$F$19</definedName>
    <definedName name="FM_IS_interest_expense_G">'Financial Model'!$G$19</definedName>
    <definedName name="FM_IS_interest_expense_H">'Financial Model'!$H$19</definedName>
    <definedName name="FM_IS_interest_income_B">'Financial Model'!$B$20</definedName>
    <definedName name="FM_IS_interest_income_C">'Financial Model'!$C$20</definedName>
    <definedName name="FM_IS_interest_income_D">'Financial Model'!$D$20</definedName>
    <definedName name="FM_IS_interest_income_E">'Financial Model'!$E$20</definedName>
    <definedName name="FM_IS_interest_income_F">'Financial Model'!$F$20</definedName>
    <definedName name="FM_IS_interest_income_G">'Financial Model'!$G$20</definedName>
    <definedName name="FM_IS_interest_income_H">'Financial Model'!$H$20</definedName>
    <definedName name="FM_IS_is_1769921646914_43p8ji241_B">'Financial Model'!$B$22</definedName>
    <definedName name="FM_IS_is_1769921646914_43p8ji241_C">'Financial Model'!$C$22</definedName>
    <definedName name="FM_IS_is_1769921646914_43p8ji241_D">'Financial Model'!$D$22</definedName>
    <definedName name="FM_IS_is_1769921646914_43p8ji241_E">'Financial Model'!$E$22</definedName>
    <definedName name="FM_IS_is_1769921646914_43p8ji241_F">'Financial Model'!$F$22</definedName>
    <definedName name="FM_IS_is_1769921646914_43p8ji241_G">'Financial Model'!$G$22</definedName>
    <definedName name="FM_IS_is_1769921646914_43p8ji241_H">'Financial Model'!$H$22</definedName>
    <definedName name="FM_IS_net_income_B">'Financial Model'!$B$25</definedName>
    <definedName name="FM_IS_net_income_C">'Financial Model'!$C$25</definedName>
    <definedName name="FM_IS_net_income_D">'Financial Model'!$D$25</definedName>
    <definedName name="FM_IS_net_income_E">'Financial Model'!$E$25</definedName>
    <definedName name="FM_IS_net_income_F">'Financial Model'!$F$25</definedName>
    <definedName name="FM_IS_net_income_G">'Financial Model'!$G$25</definedName>
    <definedName name="FM_IS_net_income_H">'Financial Model'!$H$25</definedName>
    <definedName name="FM_IS_net_income_margin_B">'Financial Model'!$B$26</definedName>
    <definedName name="FM_IS_net_income_margin_C">'Financial Model'!$C$26</definedName>
    <definedName name="FM_IS_net_income_margin_D">'Financial Model'!$D$26</definedName>
    <definedName name="FM_IS_net_income_margin_E">'Financial Model'!$E$26</definedName>
    <definedName name="FM_IS_net_income_margin_F">'Financial Model'!$F$26</definedName>
    <definedName name="FM_IS_net_income_margin_G">'Financial Model'!$G$26</definedName>
    <definedName name="FM_IS_net_income_margin_H">'Financial Model'!$H$26</definedName>
    <definedName name="FM_IS_other_income_B">'Financial Model'!$B$21</definedName>
    <definedName name="FM_IS_other_income_C">'Financial Model'!$C$21</definedName>
    <definedName name="FM_IS_other_income_D">'Financial Model'!$D$21</definedName>
    <definedName name="FM_IS_other_income_E">'Financial Model'!$E$21</definedName>
    <definedName name="FM_IS_other_income_F">'Financial Model'!$F$21</definedName>
    <definedName name="FM_IS_other_income_G">'Financial Model'!$G$21</definedName>
    <definedName name="FM_IS_other_income_H">'Financial Model'!$H$21</definedName>
    <definedName name="FM_IS_rev_B">'Financial Model'!$B$4</definedName>
    <definedName name="FM_IS_rev_C">'Financial Model'!$C$4</definedName>
    <definedName name="FM_IS_rev_D">'Financial Model'!$D$4</definedName>
    <definedName name="FM_IS_rev_E">'Financial Model'!$E$4</definedName>
    <definedName name="FM_IS_rev_F">'Financial Model'!$F$4</definedName>
    <definedName name="FM_IS_rev_G">'Financial Model'!$G$4</definedName>
    <definedName name="FM_IS_rev_H">'Financial Model'!$H$4</definedName>
    <definedName name="FM_IS_sga_B">'Financial Model'!$B$12</definedName>
    <definedName name="FM_IS_sga_C">'Financial Model'!$C$12</definedName>
    <definedName name="FM_IS_sga_D">'Financial Model'!$D$12</definedName>
    <definedName name="FM_IS_sga_E">'Financial Model'!$E$12</definedName>
    <definedName name="FM_IS_sga_F">'Financial Model'!$F$12</definedName>
    <definedName name="FM_IS_sga_G">'Financial Model'!$G$12</definedName>
    <definedName name="FM_IS_sga_H">'Financial Model'!$H$12</definedName>
    <definedName name="FM_IS_tax_B">'Financial Model'!$B$24</definedName>
    <definedName name="FM_IS_tax_C">'Financial Model'!$C$24</definedName>
    <definedName name="FM_IS_tax_D">'Financial Model'!$D$24</definedName>
    <definedName name="FM_IS_tax_E">'Financial Model'!$E$24</definedName>
    <definedName name="FM_IS_tax_F">'Financial Model'!$F$24</definedName>
    <definedName name="FM_IS_tax_G">'Financial Model'!$G$24</definedName>
    <definedName name="FM_IS_tax_H">'Financial Model'!$H$24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0" i="1" l="1"/>
  <c r="G130" i="1"/>
  <c r="F130" i="1"/>
  <c r="E130" i="1"/>
  <c r="D130" i="1"/>
  <c r="C130" i="1"/>
  <c r="B130" i="1"/>
  <c r="H123" i="1"/>
  <c r="G123" i="1"/>
  <c r="F123" i="1"/>
  <c r="E123" i="1"/>
  <c r="D123" i="1"/>
  <c r="C123" i="1"/>
  <c r="B123" i="1"/>
  <c r="H114" i="1"/>
  <c r="H131" i="1" s="1"/>
  <c r="F114" i="1"/>
  <c r="F131" i="1" s="1"/>
  <c r="D114" i="1"/>
  <c r="D131" i="1" s="1"/>
  <c r="C114" i="1"/>
  <c r="C131" i="1" s="1"/>
  <c r="B114" i="1"/>
  <c r="B131" i="1" s="1"/>
  <c r="H103" i="1"/>
  <c r="G103" i="1"/>
  <c r="G114" i="1" s="1"/>
  <c r="G131" i="1" s="1"/>
  <c r="F103" i="1"/>
  <c r="E103" i="1"/>
  <c r="E114" i="1" s="1"/>
  <c r="E131" i="1" s="1"/>
  <c r="D103" i="1"/>
  <c r="C103" i="1"/>
  <c r="B103" i="1"/>
  <c r="C85" i="1"/>
  <c r="C91" i="1" s="1"/>
  <c r="H84" i="1"/>
  <c r="G84" i="1"/>
  <c r="F84" i="1"/>
  <c r="E84" i="1"/>
  <c r="D84" i="1"/>
  <c r="C84" i="1"/>
  <c r="B84" i="1"/>
  <c r="D75" i="1"/>
  <c r="D85" i="1" s="1"/>
  <c r="D91" i="1" s="1"/>
  <c r="C75" i="1"/>
  <c r="H74" i="1"/>
  <c r="H75" i="1" s="1"/>
  <c r="H85" i="1" s="1"/>
  <c r="H91" i="1" s="1"/>
  <c r="G74" i="1"/>
  <c r="F74" i="1"/>
  <c r="E74" i="1"/>
  <c r="D74" i="1"/>
  <c r="C74" i="1"/>
  <c r="B74" i="1"/>
  <c r="H69" i="1"/>
  <c r="G69" i="1"/>
  <c r="G75" i="1" s="1"/>
  <c r="G85" i="1" s="1"/>
  <c r="G91" i="1" s="1"/>
  <c r="F69" i="1"/>
  <c r="F75" i="1" s="1"/>
  <c r="F85" i="1" s="1"/>
  <c r="F91" i="1" s="1"/>
  <c r="E69" i="1"/>
  <c r="E75" i="1" s="1"/>
  <c r="E85" i="1" s="1"/>
  <c r="E91" i="1" s="1"/>
  <c r="D69" i="1"/>
  <c r="C69" i="1"/>
  <c r="B69" i="1"/>
  <c r="B75" i="1" s="1"/>
  <c r="B85" i="1" s="1"/>
  <c r="B91" i="1" s="1"/>
  <c r="H62" i="1"/>
  <c r="H90" i="1" s="1"/>
  <c r="H61" i="1"/>
  <c r="G61" i="1"/>
  <c r="F61" i="1"/>
  <c r="E61" i="1"/>
  <c r="E62" i="1" s="1"/>
  <c r="E90" i="1" s="1"/>
  <c r="E92" i="1" s="1"/>
  <c r="D61" i="1"/>
  <c r="C61" i="1"/>
  <c r="B61" i="1"/>
  <c r="H52" i="1"/>
  <c r="G52" i="1"/>
  <c r="G62" i="1" s="1"/>
  <c r="G90" i="1" s="1"/>
  <c r="G92" i="1" s="1"/>
  <c r="F52" i="1"/>
  <c r="F62" i="1" s="1"/>
  <c r="F90" i="1" s="1"/>
  <c r="E52" i="1"/>
  <c r="D52" i="1"/>
  <c r="D62" i="1" s="1"/>
  <c r="D90" i="1" s="1"/>
  <c r="D92" i="1" s="1"/>
  <c r="C52" i="1"/>
  <c r="C62" i="1" s="1"/>
  <c r="C90" i="1" s="1"/>
  <c r="C92" i="1" s="1"/>
  <c r="B52" i="1"/>
  <c r="B62" i="1" s="1"/>
  <c r="B90" i="1" s="1"/>
  <c r="H37" i="1"/>
  <c r="G37" i="1"/>
  <c r="F37" i="1"/>
  <c r="E37" i="1"/>
  <c r="D37" i="1"/>
  <c r="C37" i="1"/>
  <c r="B37" i="1"/>
  <c r="G26" i="1"/>
  <c r="F26" i="1"/>
  <c r="E26" i="1"/>
  <c r="D26" i="1"/>
  <c r="G23" i="1"/>
  <c r="G25" i="1" s="1"/>
  <c r="G18" i="1"/>
  <c r="F18" i="1"/>
  <c r="G17" i="1"/>
  <c r="F17" i="1"/>
  <c r="F23" i="1" s="1"/>
  <c r="F25" i="1" s="1"/>
  <c r="E17" i="1"/>
  <c r="E23" i="1" s="1"/>
  <c r="E25" i="1" s="1"/>
  <c r="H12" i="1"/>
  <c r="G12" i="1"/>
  <c r="F12" i="1"/>
  <c r="E12" i="1"/>
  <c r="D12" i="1"/>
  <c r="C12" i="1"/>
  <c r="B12" i="1"/>
  <c r="G11" i="1"/>
  <c r="F11" i="1"/>
  <c r="E11" i="1"/>
  <c r="D11" i="1"/>
  <c r="C11" i="1"/>
  <c r="G10" i="1"/>
  <c r="F10" i="1"/>
  <c r="E10" i="1"/>
  <c r="D10" i="1"/>
  <c r="D17" i="1" s="1"/>
  <c r="D23" i="1" s="1"/>
  <c r="D25" i="1" s="1"/>
  <c r="C10" i="1"/>
  <c r="C17" i="1" s="1"/>
  <c r="C23" i="1" s="1"/>
  <c r="C25" i="1" s="1"/>
  <c r="C26" i="1" s="1"/>
  <c r="B10" i="1"/>
  <c r="B17" i="1" s="1"/>
  <c r="B23" i="1" s="1"/>
  <c r="B25" i="1" s="1"/>
  <c r="B26" i="1" s="1"/>
  <c r="H7" i="1"/>
  <c r="G7" i="1"/>
  <c r="F7" i="1"/>
  <c r="E7" i="1"/>
  <c r="D7" i="1"/>
  <c r="C7" i="1"/>
  <c r="B7" i="1"/>
  <c r="H4" i="1"/>
  <c r="H26" i="1" s="1"/>
  <c r="G4" i="1"/>
  <c r="F4" i="1"/>
  <c r="E4" i="1"/>
  <c r="E18" i="1" s="1"/>
  <c r="D4" i="1"/>
  <c r="D18" i="1" s="1"/>
  <c r="C4" i="1"/>
  <c r="B4" i="1"/>
  <c r="B11" i="1" s="1"/>
  <c r="F92" i="1" l="1"/>
  <c r="H92" i="1"/>
  <c r="C18" i="1"/>
  <c r="B92" i="1"/>
  <c r="H18" i="1"/>
  <c r="B18" i="1"/>
  <c r="H11" i="1"/>
  <c r="H10" i="1"/>
  <c r="H17" i="1" s="1"/>
  <c r="H23" i="1" s="1"/>
  <c r="H25" i="1" s="1"/>
</calcChain>
</file>

<file path=xl/sharedStrings.xml><?xml version="1.0" encoding="utf-8"?>
<sst xmlns="http://schemas.openxmlformats.org/spreadsheetml/2006/main" count="133" uniqueCount="125">
  <si>
    <t>All currency amounts in M (millions). Other values (shares, percentages, etc.) are in actual units.</t>
  </si>
  <si>
    <t>Line Item</t>
  </si>
  <si>
    <t>2024A</t>
  </si>
  <si>
    <t>2025A</t>
  </si>
  <si>
    <t>2026E</t>
  </si>
  <si>
    <t>2027E</t>
  </si>
  <si>
    <t>2028E</t>
  </si>
  <si>
    <t>2029E</t>
  </si>
  <si>
    <t>2030E</t>
  </si>
  <si>
    <t>Revenue</t>
  </si>
  <si>
    <t xml:space="preserve">  Subscriptions</t>
  </si>
  <si>
    <t xml:space="preserve">  Services</t>
  </si>
  <si>
    <t>COGS</t>
  </si>
  <si>
    <t xml:space="preserve">  Subscriptions COGS</t>
  </si>
  <si>
    <t xml:space="preserve">  Services COGS</t>
  </si>
  <si>
    <t>Gross Profit</t>
  </si>
  <si>
    <t>Gross Margin %</t>
  </si>
  <si>
    <t>Selling, General &amp; Administrative (SG&amp;A)</t>
  </si>
  <si>
    <t xml:space="preserve">  R&amp;D</t>
  </si>
  <si>
    <t xml:space="preserve">  Sales &amp; Marketing</t>
  </si>
  <si>
    <t xml:space="preserve">  General &amp; Administrative</t>
  </si>
  <si>
    <t xml:space="preserve">  Restructuring</t>
  </si>
  <si>
    <t>EBIT (Operating Income)</t>
  </si>
  <si>
    <t>EBIT Margin %</t>
  </si>
  <si>
    <t>Interest Expense</t>
  </si>
  <si>
    <t>Interest Income</t>
  </si>
  <si>
    <t>Other Income / (Expense), net</t>
  </si>
  <si>
    <t>Gains (losses) on strategic investments</t>
  </si>
  <si>
    <t>EBT (Earnings Before Tax)</t>
  </si>
  <si>
    <t>Income Tax Expense</t>
  </si>
  <si>
    <t>Net Income</t>
  </si>
  <si>
    <t>Net Income Margin %</t>
  </si>
  <si>
    <t>Stock-Based Compensation Expense</t>
  </si>
  <si>
    <t>Amounts include stock-based compensation expense, as follows:</t>
  </si>
  <si>
    <t>Category</t>
  </si>
  <si>
    <t>Cost of revenues — Subscriptions COGS</t>
  </si>
  <si>
    <t>R&amp;D</t>
  </si>
  <si>
    <t>Sales &amp; Marketing</t>
  </si>
  <si>
    <t>General &amp; Administrative</t>
  </si>
  <si>
    <t>Restructuring</t>
  </si>
  <si>
    <t>Total stock-based compensation expense</t>
  </si>
  <si>
    <t>Balance Sheet</t>
  </si>
  <si>
    <t>Assets</t>
  </si>
  <si>
    <t>Current assets</t>
  </si>
  <si>
    <t>Cash &amp; Cash Equivalents</t>
  </si>
  <si>
    <t>Accounts Receivable</t>
  </si>
  <si>
    <t>Inventory</t>
  </si>
  <si>
    <t>Other Current Assets</t>
  </si>
  <si>
    <t>Prepaid expenses</t>
  </si>
  <si>
    <t>Short-term investments / Marketable securities</t>
  </si>
  <si>
    <t>Costs capitalized to obtain revenue contracts, net</t>
  </si>
  <si>
    <t>Total Current Assets</t>
  </si>
  <si>
    <t>Fixed assets</t>
  </si>
  <si>
    <t>Property, Plant &amp; Equipment, net (PP&amp;E)</t>
  </si>
  <si>
    <t>Goodwill</t>
  </si>
  <si>
    <t>Intangible Assets</t>
  </si>
  <si>
    <t>Other Assets</t>
  </si>
  <si>
    <t>Deferred tax assets, non-current</t>
  </si>
  <si>
    <t>Strategic investments</t>
  </si>
  <si>
    <t>Operating lease right-of-use assets</t>
  </si>
  <si>
    <t>Total Fixed Assets</t>
  </si>
  <si>
    <t>Total Assets</t>
  </si>
  <si>
    <t>Liabilities</t>
  </si>
  <si>
    <t>Current liabilities</t>
  </si>
  <si>
    <t>Accounts Payable</t>
  </si>
  <si>
    <t>Short-Term Debt</t>
  </si>
  <si>
    <t>Other Current Liabilities</t>
  </si>
  <si>
    <t>Unearned revenue</t>
  </si>
  <si>
    <t>Total Current Liabilities</t>
  </si>
  <si>
    <t>Non-current liabilities</t>
  </si>
  <si>
    <t>Long-Term Debt</t>
  </si>
  <si>
    <t>Non Current Operating Leases</t>
  </si>
  <si>
    <t>Other Long-Term Liabilities</t>
  </si>
  <si>
    <t>Total Non-Current Liabilities</t>
  </si>
  <si>
    <t>Total Liabilities</t>
  </si>
  <si>
    <t>Shareholders' Equity</t>
  </si>
  <si>
    <t>Shareholders' equity</t>
  </si>
  <si>
    <t>Common Stock (Par Value)</t>
  </si>
  <si>
    <t>Preferred Stock</t>
  </si>
  <si>
    <t>Retained Earnings</t>
  </si>
  <si>
    <t>Additional Paid-in Capital (APIC)</t>
  </si>
  <si>
    <t>Treasury Stock</t>
  </si>
  <si>
    <t>Accumulated Other Comprehensive Income (AOCI)</t>
  </si>
  <si>
    <t>Total Equity</t>
  </si>
  <si>
    <t>Total Liabilities &amp; Equity</t>
  </si>
  <si>
    <t>Balance Check</t>
  </si>
  <si>
    <t>Total Assets must equal Total Liabilities + Total Equity</t>
  </si>
  <si>
    <t>Total Liabilities + Equity</t>
  </si>
  <si>
    <t>Balance Status</t>
  </si>
  <si>
    <t>Cash Flow Statement</t>
  </si>
  <si>
    <t>Operating Activities</t>
  </si>
  <si>
    <t>(+) Net Income</t>
  </si>
  <si>
    <t>(+) Depreciation &amp; Amortization</t>
  </si>
  <si>
    <t>(+) Amortization of Costs Capitalized to obtain revenue, net</t>
  </si>
  <si>
    <t>(+) Stock-Based Compensation</t>
  </si>
  <si>
    <t>(+) Losses in Strategic Investments, net</t>
  </si>
  <si>
    <t>(-) Change in Working Capital</t>
  </si>
  <si>
    <t xml:space="preserve">  (-) Accounts Receivable</t>
  </si>
  <si>
    <t xml:space="preserve">  (-) Inventory</t>
  </si>
  <si>
    <t xml:space="preserve">  (-) Other Current Assets</t>
  </si>
  <si>
    <t xml:space="preserve">  (-) Prepaid expenses</t>
  </si>
  <si>
    <t xml:space="preserve">  (-) Short-term investments / Marketable securities</t>
  </si>
  <si>
    <t xml:space="preserve">  (-) Costs capitalized to obtain revenue contracts, net</t>
  </si>
  <si>
    <t xml:space="preserve">  (+) Accounts Payable</t>
  </si>
  <si>
    <t xml:space="preserve">  (+) Other Current Liabilities</t>
  </si>
  <si>
    <t xml:space="preserve">  (+) Unearned revenue</t>
  </si>
  <si>
    <t xml:space="preserve">  (-) Operating Lease Liabilities</t>
  </si>
  <si>
    <t>Cash from Operating Activities</t>
  </si>
  <si>
    <t>Investing Activities</t>
  </si>
  <si>
    <t>(-) Capital Expenditures (CapEx)</t>
  </si>
  <si>
    <t>(-) Acquisitions</t>
  </si>
  <si>
    <t>(-) Purchases of Strategic Investments</t>
  </si>
  <si>
    <t>(+) Sales of Strategic Investments</t>
  </si>
  <si>
    <t>(-) Purchase of Marketable Securities</t>
  </si>
  <si>
    <t>(+) Sale of Marketable Securities</t>
  </si>
  <si>
    <t>(+) Maturities of Marketable Securities</t>
  </si>
  <si>
    <t>Cash from Investing Activities</t>
  </si>
  <si>
    <t>Financing Activities</t>
  </si>
  <si>
    <t>(-) Repurchases of common stock</t>
  </si>
  <si>
    <t>(+) Proceeds from Exercise of Stock Options</t>
  </si>
  <si>
    <t>(-) Repayment of Finance Lease Obligations</t>
  </si>
  <si>
    <t>(-) Debt Repayment</t>
  </si>
  <si>
    <t>(-) Dividends Paid</t>
  </si>
  <si>
    <t>Cash from Financing Activities</t>
  </si>
  <si>
    <t>Net Change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</si>
</sst>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16" x14ac:knownFonts="1">
    <font>
      <sz val="11"/>
      <color theme="1"/>
      <name val="Calibri"/>
      <family val="2"/>
      <scheme val="minor"/>
    </font>
    <font>
      <i/>
      <sz val="10"/>
      <color rgb="FF94A3B8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66CC"/>
      <name val="Calibri"/>
      <family val="2"/>
    </font>
    <font>
      <i/>
      <sz val="10"/>
      <color rgb="FF64748B"/>
      <name val="Calibri"/>
      <family val="2"/>
    </font>
    <font>
      <b/>
      <sz val="11"/>
      <color rgb="FFFFD700"/>
      <name val="Calibri"/>
      <family val="2"/>
    </font>
    <font>
      <i/>
      <sz val="10"/>
      <color rgb="FFFFD700"/>
      <name val="Calibri"/>
      <family val="2"/>
    </font>
    <font>
      <b/>
      <sz val="11"/>
      <color rgb="FFFFD700"/>
      <name val="Calibri"/>
      <family val="2"/>
    </font>
    <font>
      <sz val="11"/>
      <color rgb="FFFFD7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64748B"/>
      <name val="Calibri"/>
      <family val="2"/>
    </font>
    <font>
      <i/>
      <sz val="10"/>
      <color rgb="FF666666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78350F"/>
      </patternFill>
    </fill>
    <fill>
      <patternFill patternType="solid">
        <fgColor rgb="FFE5E7EB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/>
      <right/>
      <top style="thin">
        <color rgb="FFCBD5E1"/>
      </top>
      <bottom/>
      <diagonal/>
    </border>
    <border>
      <left/>
      <right/>
      <top style="medium">
        <color rgb="FF94A3B8"/>
      </top>
      <bottom style="thin">
        <color rgb="FF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left" vertical="center"/>
    </xf>
    <xf numFmtId="5" fontId="3" fillId="3" borderId="1" xfId="0" applyNumberFormat="1" applyFont="1" applyFill="1" applyBorder="1" applyAlignment="1">
      <alignment horizontal="right" vertical="center"/>
    </xf>
    <xf numFmtId="0" fontId="0" fillId="3" borderId="0" xfId="0" applyFill="1"/>
    <xf numFmtId="0" fontId="4" fillId="3" borderId="0" xfId="0" applyFont="1" applyFill="1" applyAlignment="1">
      <alignment horizontal="left" vertical="center"/>
    </xf>
    <xf numFmtId="5" fontId="4" fillId="3" borderId="0" xfId="0" applyNumberFormat="1" applyFont="1" applyFill="1" applyAlignment="1">
      <alignment horizontal="right" vertical="center"/>
    </xf>
    <xf numFmtId="5" fontId="5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10" fontId="6" fillId="3" borderId="0" xfId="0" applyNumberFormat="1" applyFont="1" applyFill="1" applyAlignment="1">
      <alignment horizontal="right" vertical="center"/>
    </xf>
    <xf numFmtId="0" fontId="7" fillId="0" borderId="0" xfId="0" applyFont="1"/>
    <xf numFmtId="0" fontId="8" fillId="0" borderId="0" xfId="0" applyFont="1"/>
    <xf numFmtId="0" fontId="9" fillId="4" borderId="0" xfId="0" applyFont="1" applyFill="1"/>
    <xf numFmtId="0" fontId="10" fillId="0" borderId="0" xfId="0" applyFont="1"/>
    <xf numFmtId="5" fontId="10" fillId="0" borderId="0" xfId="0" applyNumberFormat="1" applyFont="1"/>
    <xf numFmtId="0" fontId="9" fillId="0" borderId="0" xfId="0" applyFont="1"/>
    <xf numFmtId="5" fontId="9" fillId="0" borderId="0" xfId="0" applyNumberFormat="1" applyFont="1"/>
    <xf numFmtId="0" fontId="0" fillId="5" borderId="0" xfId="0" applyFill="1"/>
    <xf numFmtId="0" fontId="11" fillId="5" borderId="0" xfId="0" applyFont="1" applyFill="1"/>
    <xf numFmtId="0" fontId="0" fillId="5" borderId="2" xfId="0" applyFill="1" applyBorder="1"/>
    <xf numFmtId="0" fontId="12" fillId="5" borderId="2" xfId="0" applyFont="1" applyFill="1" applyBorder="1"/>
    <xf numFmtId="0" fontId="0" fillId="6" borderId="0" xfId="0" applyFill="1"/>
    <xf numFmtId="0" fontId="13" fillId="6" borderId="0" xfId="0" applyFont="1" applyFill="1"/>
    <xf numFmtId="0" fontId="11" fillId="3" borderId="0" xfId="0" applyFont="1" applyFill="1"/>
    <xf numFmtId="0" fontId="14" fillId="0" borderId="0" xfId="0" applyFont="1"/>
    <xf numFmtId="0" fontId="3" fillId="0" borderId="0" xfId="0" applyFont="1"/>
    <xf numFmtId="5" fontId="3" fillId="0" borderId="0" xfId="0" applyNumberFormat="1" applyFont="1"/>
    <xf numFmtId="0" fontId="15" fillId="0" borderId="0" xfId="0" applyFont="1"/>
    <xf numFmtId="5" fontId="0" fillId="3" borderId="1" xfId="0" applyNumberFormat="1" applyFill="1" applyBorder="1" applyAlignment="1">
      <alignment horizontal="right" vertical="center"/>
    </xf>
    <xf numFmtId="5" fontId="0" fillId="3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topLeftCell="A70" workbookViewId="0">
      <selection activeCell="B123" sqref="B123"/>
    </sheetView>
  </sheetViews>
  <sheetFormatPr baseColWidth="10" defaultColWidth="8.83203125" defaultRowHeight="15" x14ac:dyDescent="0.2"/>
  <cols>
    <col min="1" max="1" width="32" customWidth="1"/>
    <col min="2" max="8" width="18" customWidth="1"/>
  </cols>
  <sheetData>
    <row r="1" spans="1:8" x14ac:dyDescent="0.2">
      <c r="A1" s="1" t="s">
        <v>0</v>
      </c>
    </row>
    <row r="2" spans="1:8" s="2" customFormat="1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4" spans="1:8" s="3" customFormat="1" x14ac:dyDescent="0.2">
      <c r="A4" s="4" t="s">
        <v>9</v>
      </c>
      <c r="B4" s="5">
        <f>FM_IS_id_5f4ef998193e5_1769919098857_B+FM_IS_id_b3a950f679ed8_1769919133416_B</f>
        <v>34857000000</v>
      </c>
      <c r="C4" s="5">
        <f>FM_IS_id_5f4ef998193e5_1769919098857_C+FM_IS_id_b3a950f679ed8_1769919133416_C</f>
        <v>37895000000</v>
      </c>
      <c r="D4" s="5">
        <f>FM_IS_id_5f4ef998193e5_1769919098857_D+FM_IS_id_b3a950f679ed8_1769919133416_D</f>
        <v>0</v>
      </c>
      <c r="E4" s="5">
        <f>FM_IS_id_5f4ef998193e5_1769919098857_E+FM_IS_id_b3a950f679ed8_1769919133416_E</f>
        <v>0</v>
      </c>
      <c r="F4" s="5">
        <f>FM_IS_id_5f4ef998193e5_1769919098857_F+FM_IS_id_b3a950f679ed8_1769919133416_F</f>
        <v>0</v>
      </c>
      <c r="G4" s="5">
        <f>FM_IS_id_5f4ef998193e5_1769919098857_G+FM_IS_id_b3a950f679ed8_1769919133416_G</f>
        <v>0</v>
      </c>
      <c r="H4" s="5">
        <f>FM_IS_id_5f4ef998193e5_1769919098857_H+FM_IS_id_b3a950f679ed8_1769919133416_H</f>
        <v>0</v>
      </c>
    </row>
    <row r="5" spans="1:8" s="6" customFormat="1" x14ac:dyDescent="0.2">
      <c r="A5" s="7" t="s">
        <v>10</v>
      </c>
      <c r="B5" s="8">
        <v>32537000000</v>
      </c>
      <c r="C5" s="8">
        <v>35679000000</v>
      </c>
      <c r="D5" s="9"/>
      <c r="E5" s="9"/>
      <c r="F5" s="9"/>
      <c r="G5" s="9"/>
      <c r="H5" s="9"/>
    </row>
    <row r="6" spans="1:8" s="6" customFormat="1" x14ac:dyDescent="0.2">
      <c r="A6" s="7" t="s">
        <v>11</v>
      </c>
      <c r="B6" s="8">
        <v>2320000000</v>
      </c>
      <c r="C6" s="8">
        <v>2216000000</v>
      </c>
      <c r="D6" s="9"/>
      <c r="E6" s="9"/>
      <c r="F6" s="9"/>
      <c r="G6" s="9"/>
      <c r="H6" s="9"/>
    </row>
    <row r="7" spans="1:8" s="3" customFormat="1" x14ac:dyDescent="0.2">
      <c r="A7" s="4" t="s">
        <v>12</v>
      </c>
      <c r="B7" s="5">
        <f>FM_IS_id_ae335ad71f8b3_1769919098873_B+FM_IS_id_f1d03057ac5e28_1769919133420_B</f>
        <v>8541000000</v>
      </c>
      <c r="C7" s="5">
        <f>FM_IS_id_ae335ad71f8b3_1769919098873_C+FM_IS_id_f1d03057ac5e28_1769919133420_C</f>
        <v>8643000000</v>
      </c>
      <c r="D7" s="5">
        <f>FM_IS_id_ae335ad71f8b3_1769919098873_D+FM_IS_id_f1d03057ac5e28_1769919133420_D</f>
        <v>0</v>
      </c>
      <c r="E7" s="5">
        <f>FM_IS_id_ae335ad71f8b3_1769919098873_E+FM_IS_id_f1d03057ac5e28_1769919133420_E</f>
        <v>0</v>
      </c>
      <c r="F7" s="5">
        <f>FM_IS_id_ae335ad71f8b3_1769919098873_F+FM_IS_id_f1d03057ac5e28_1769919133420_F</f>
        <v>0</v>
      </c>
      <c r="G7" s="5">
        <f>FM_IS_id_ae335ad71f8b3_1769919098873_G+FM_IS_id_f1d03057ac5e28_1769919133420_G</f>
        <v>0</v>
      </c>
      <c r="H7" s="5">
        <f>FM_IS_id_ae335ad71f8b3_1769919098873_H+FM_IS_id_f1d03057ac5e28_1769919133420_H</f>
        <v>0</v>
      </c>
    </row>
    <row r="8" spans="1:8" s="6" customFormat="1" x14ac:dyDescent="0.2">
      <c r="A8" s="7" t="s">
        <v>13</v>
      </c>
      <c r="B8" s="8">
        <v>6177000000</v>
      </c>
      <c r="C8" s="8">
        <v>6198000000</v>
      </c>
      <c r="D8" s="9"/>
      <c r="E8" s="9"/>
      <c r="F8" s="9"/>
      <c r="G8" s="9"/>
      <c r="H8" s="9"/>
    </row>
    <row r="9" spans="1:8" s="6" customFormat="1" x14ac:dyDescent="0.2">
      <c r="A9" s="7" t="s">
        <v>14</v>
      </c>
      <c r="B9" s="8">
        <v>2364000000</v>
      </c>
      <c r="C9" s="8">
        <v>2445000000</v>
      </c>
      <c r="D9" s="9"/>
      <c r="E9" s="9"/>
      <c r="F9" s="9"/>
      <c r="G9" s="9"/>
      <c r="H9" s="9"/>
    </row>
    <row r="10" spans="1:8" s="3" customFormat="1" x14ac:dyDescent="0.2">
      <c r="A10" s="4" t="s">
        <v>15</v>
      </c>
      <c r="B10" s="5">
        <f>FM_IS_rev_B-FM_IS_cogs_B</f>
        <v>26316000000</v>
      </c>
      <c r="C10" s="5">
        <f>FM_IS_rev_C-FM_IS_cogs_C</f>
        <v>29252000000</v>
      </c>
      <c r="D10" s="5">
        <f>FM_IS_rev_D-FM_IS_cogs_D</f>
        <v>0</v>
      </c>
      <c r="E10" s="5">
        <f>FM_IS_rev_E-FM_IS_cogs_E</f>
        <v>0</v>
      </c>
      <c r="F10" s="5">
        <f>FM_IS_rev_F-FM_IS_cogs_F</f>
        <v>0</v>
      </c>
      <c r="G10" s="5">
        <f>FM_IS_rev_G-FM_IS_cogs_G</f>
        <v>0</v>
      </c>
      <c r="H10" s="5">
        <f>FM_IS_rev_H-FM_IS_cogs_H</f>
        <v>0</v>
      </c>
    </row>
    <row r="11" spans="1:8" s="6" customFormat="1" x14ac:dyDescent="0.2">
      <c r="A11" s="10" t="s">
        <v>16</v>
      </c>
      <c r="B11" s="11">
        <f>IF(FM_IS_rev_B=0,0,FM_IS_gross_profit_B/FM_IS_rev_B)</f>
        <v>0.75497030725535763</v>
      </c>
      <c r="C11" s="11">
        <f>IF(FM_IS_rev_C=0,0,FM_IS_gross_profit_C/FM_IS_rev_C)</f>
        <v>0.77192241720543608</v>
      </c>
      <c r="D11" s="11">
        <f>IF(FM_IS_rev_D=0,0,FM_IS_gross_profit_D/FM_IS_rev_D)</f>
        <v>0</v>
      </c>
      <c r="E11" s="11">
        <f>IF(FM_IS_rev_E=0,0,FM_IS_gross_profit_E/FM_IS_rev_E)</f>
        <v>0</v>
      </c>
      <c r="F11" s="11">
        <f>IF(FM_IS_rev_F=0,0,FM_IS_gross_profit_F/FM_IS_rev_F)</f>
        <v>0</v>
      </c>
      <c r="G11" s="11">
        <f>IF(FM_IS_rev_G=0,0,FM_IS_gross_profit_G/FM_IS_rev_G)</f>
        <v>0</v>
      </c>
      <c r="H11" s="11">
        <f>IF(FM_IS_rev_H=0,0,FM_IS_gross_profit_H/FM_IS_rev_H)</f>
        <v>0</v>
      </c>
    </row>
    <row r="12" spans="1:8" s="3" customFormat="1" x14ac:dyDescent="0.2">
      <c r="A12" s="4" t="s">
        <v>17</v>
      </c>
      <c r="B12" s="5">
        <f>FM_IS_id_a3b0136aee49f8_1769919326158_B+FM_IS_id_cb758e4a957468_1769919339151_B+FM_IS_id_da10ab5b16bae8_1769919353328_B+FM_IS_id_6e25c0c0ed1778_1769919367840_B</f>
        <v>21305000000</v>
      </c>
      <c r="C12" s="5">
        <f>FM_IS_id_a3b0136aee49f8_1769919326158_C+FM_IS_id_cb758e4a957468_1769919339151_C+FM_IS_id_da10ab5b16bae8_1769919353328_C+FM_IS_id_6e25c0c0ed1778_1769919367840_C</f>
        <v>22047000000</v>
      </c>
      <c r="D12" s="5">
        <f>FM_IS_id_a3b0136aee49f8_1769919326158_D+FM_IS_id_cb758e4a957468_1769919339151_D+FM_IS_id_da10ab5b16bae8_1769919353328_D+FM_IS_id_6e25c0c0ed1778_1769919367840_D</f>
        <v>0</v>
      </c>
      <c r="E12" s="5">
        <f>FM_IS_id_a3b0136aee49f8_1769919326158_E+FM_IS_id_cb758e4a957468_1769919339151_E+FM_IS_id_da10ab5b16bae8_1769919353328_E+FM_IS_id_6e25c0c0ed1778_1769919367840_E</f>
        <v>0</v>
      </c>
      <c r="F12" s="5">
        <f>FM_IS_id_a3b0136aee49f8_1769919326158_F+FM_IS_id_cb758e4a957468_1769919339151_F+FM_IS_id_da10ab5b16bae8_1769919353328_F+FM_IS_id_6e25c0c0ed1778_1769919367840_F</f>
        <v>0</v>
      </c>
      <c r="G12" s="5">
        <f>FM_IS_id_a3b0136aee49f8_1769919326158_G+FM_IS_id_cb758e4a957468_1769919339151_G+FM_IS_id_da10ab5b16bae8_1769919353328_G+FM_IS_id_6e25c0c0ed1778_1769919367840_G</f>
        <v>0</v>
      </c>
      <c r="H12" s="5">
        <f>FM_IS_id_a3b0136aee49f8_1769919326158_H+FM_IS_id_cb758e4a957468_1769919339151_H+FM_IS_id_da10ab5b16bae8_1769919353328_H+FM_IS_id_6e25c0c0ed1778_1769919367840_H</f>
        <v>0</v>
      </c>
    </row>
    <row r="13" spans="1:8" s="6" customFormat="1" x14ac:dyDescent="0.2">
      <c r="A13" s="7" t="s">
        <v>18</v>
      </c>
      <c r="B13" s="8">
        <v>4906000000</v>
      </c>
      <c r="C13" s="8">
        <v>5493000000</v>
      </c>
      <c r="D13" s="9"/>
      <c r="E13" s="9"/>
      <c r="F13" s="9"/>
      <c r="G13" s="9"/>
      <c r="H13" s="9"/>
    </row>
    <row r="14" spans="1:8" s="6" customFormat="1" x14ac:dyDescent="0.2">
      <c r="A14" s="7" t="s">
        <v>19</v>
      </c>
      <c r="B14" s="8">
        <v>12877000000</v>
      </c>
      <c r="C14" s="8">
        <v>13257000000</v>
      </c>
      <c r="D14" s="9"/>
      <c r="E14" s="9"/>
      <c r="F14" s="9"/>
      <c r="G14" s="9"/>
      <c r="H14" s="9"/>
    </row>
    <row r="15" spans="1:8" s="6" customFormat="1" x14ac:dyDescent="0.2">
      <c r="A15" s="7" t="s">
        <v>20</v>
      </c>
      <c r="B15" s="8">
        <v>2534000000</v>
      </c>
      <c r="C15" s="8">
        <v>2836000000</v>
      </c>
      <c r="D15" s="9"/>
      <c r="E15" s="9"/>
      <c r="F15" s="9"/>
      <c r="G15" s="9"/>
      <c r="H15" s="9"/>
    </row>
    <row r="16" spans="1:8" s="6" customFormat="1" x14ac:dyDescent="0.2">
      <c r="A16" s="7" t="s">
        <v>21</v>
      </c>
      <c r="B16" s="8">
        <v>988000000</v>
      </c>
      <c r="C16" s="8">
        <v>461000000</v>
      </c>
      <c r="D16" s="9"/>
      <c r="E16" s="9"/>
      <c r="F16" s="9"/>
      <c r="G16" s="9"/>
      <c r="H16" s="9"/>
    </row>
    <row r="17" spans="1:8" s="3" customFormat="1" x14ac:dyDescent="0.2">
      <c r="A17" s="4" t="s">
        <v>22</v>
      </c>
      <c r="B17" s="5">
        <f>FM_IS_gross_profit_B-FM_IS_sga_B</f>
        <v>5011000000</v>
      </c>
      <c r="C17" s="5">
        <f>FM_IS_gross_profit_C-FM_IS_sga_C</f>
        <v>7205000000</v>
      </c>
      <c r="D17" s="5">
        <f>FM_IS_gross_profit_D-FM_IS_sga_D</f>
        <v>0</v>
      </c>
      <c r="E17" s="5">
        <f>FM_IS_gross_profit_E-FM_IS_sga_E</f>
        <v>0</v>
      </c>
      <c r="F17" s="5">
        <f>FM_IS_gross_profit_F-FM_IS_sga_F</f>
        <v>0</v>
      </c>
      <c r="G17" s="5">
        <f>FM_IS_gross_profit_G-FM_IS_sga_G</f>
        <v>0</v>
      </c>
      <c r="H17" s="5">
        <f>FM_IS_gross_profit_H-FM_IS_sga_H</f>
        <v>0</v>
      </c>
    </row>
    <row r="18" spans="1:8" s="6" customFormat="1" x14ac:dyDescent="0.2">
      <c r="A18" s="10" t="s">
        <v>23</v>
      </c>
      <c r="B18" s="11">
        <f>IF(FM_IS_rev_B=0,0,FM_IS_ebit_B/FM_IS_rev_B)</f>
        <v>0.14375878589666352</v>
      </c>
      <c r="C18" s="11">
        <f>IF(FM_IS_rev_C=0,0,FM_IS_ebit_C/FM_IS_rev_C)</f>
        <v>0.19013062409288825</v>
      </c>
      <c r="D18" s="11">
        <f>IF(FM_IS_rev_D=0,0,FM_IS_ebit_D/FM_IS_rev_D)</f>
        <v>0</v>
      </c>
      <c r="E18" s="11">
        <f>IF(FM_IS_rev_E=0,0,FM_IS_ebit_E/FM_IS_rev_E)</f>
        <v>0</v>
      </c>
      <c r="F18" s="11">
        <f>IF(FM_IS_rev_F=0,0,FM_IS_ebit_F/FM_IS_rev_F)</f>
        <v>0</v>
      </c>
      <c r="G18" s="11">
        <f>IF(FM_IS_rev_G=0,0,FM_IS_ebit_G/FM_IS_rev_G)</f>
        <v>0</v>
      </c>
      <c r="H18" s="11">
        <f>IF(FM_IS_rev_H=0,0,FM_IS_ebit_H/FM_IS_rev_H)</f>
        <v>0</v>
      </c>
    </row>
    <row r="19" spans="1:8" s="6" customFormat="1" x14ac:dyDescent="0.2">
      <c r="A19" s="7" t="s">
        <v>24</v>
      </c>
      <c r="B19" s="8">
        <v>0</v>
      </c>
      <c r="C19" s="8">
        <v>0</v>
      </c>
      <c r="D19" s="9"/>
      <c r="E19" s="9"/>
      <c r="F19" s="9"/>
      <c r="G19" s="9"/>
      <c r="H19" s="9"/>
    </row>
    <row r="20" spans="1:8" s="6" customFormat="1" x14ac:dyDescent="0.2">
      <c r="A20" s="7" t="s">
        <v>25</v>
      </c>
      <c r="B20" s="8">
        <v>0</v>
      </c>
      <c r="C20" s="8">
        <v>0</v>
      </c>
      <c r="D20" s="9"/>
      <c r="E20" s="9"/>
      <c r="F20" s="9"/>
      <c r="G20" s="9"/>
      <c r="H20" s="9"/>
    </row>
    <row r="21" spans="1:8" s="6" customFormat="1" x14ac:dyDescent="0.2">
      <c r="A21" s="7" t="s">
        <v>26</v>
      </c>
      <c r="B21" s="8">
        <v>216000000</v>
      </c>
      <c r="C21" s="8">
        <v>354000000</v>
      </c>
      <c r="D21" s="9"/>
      <c r="E21" s="9"/>
      <c r="F21" s="9"/>
      <c r="G21" s="9"/>
      <c r="H21" s="9"/>
    </row>
    <row r="22" spans="1:8" s="6" customFormat="1" x14ac:dyDescent="0.2">
      <c r="A22" s="7" t="s">
        <v>27</v>
      </c>
      <c r="B22" s="8">
        <v>-277000000</v>
      </c>
      <c r="C22" s="8">
        <v>-121000000</v>
      </c>
      <c r="D22" s="9"/>
      <c r="E22" s="9"/>
      <c r="F22" s="9"/>
      <c r="G22" s="9"/>
      <c r="H22" s="9"/>
    </row>
    <row r="23" spans="1:8" s="3" customFormat="1" x14ac:dyDescent="0.2">
      <c r="A23" s="4" t="s">
        <v>28</v>
      </c>
      <c r="B23" s="5">
        <f>FM_IS_ebit_B+FM_IS_interest_expense_B+FM_IS_interest_income_B+FM_IS_other_income_B+FM_IS_is_1769921646914_43p8ji241_B</f>
        <v>4950000000</v>
      </c>
      <c r="C23" s="5">
        <f>FM_IS_ebit_C+FM_IS_interest_expense_C+FM_IS_interest_income_C+FM_IS_other_income_C+FM_IS_is_1769921646914_43p8ji241_C</f>
        <v>7438000000</v>
      </c>
      <c r="D23" s="5">
        <f>FM_IS_ebit_D+FM_IS_interest_expense_D+FM_IS_interest_income_D+FM_IS_other_income_D+FM_IS_is_1769921646914_43p8ji241_D</f>
        <v>0</v>
      </c>
      <c r="E23" s="5">
        <f>FM_IS_ebit_E+FM_IS_interest_expense_E+FM_IS_interest_income_E+FM_IS_other_income_E+FM_IS_is_1769921646914_43p8ji241_E</f>
        <v>0</v>
      </c>
      <c r="F23" s="5">
        <f>FM_IS_ebit_F+FM_IS_interest_expense_F+FM_IS_interest_income_F+FM_IS_other_income_F+FM_IS_is_1769921646914_43p8ji241_F</f>
        <v>0</v>
      </c>
      <c r="G23" s="5">
        <f>FM_IS_ebit_G+FM_IS_interest_expense_G+FM_IS_interest_income_G+FM_IS_other_income_G+FM_IS_is_1769921646914_43p8ji241_G</f>
        <v>0</v>
      </c>
      <c r="H23" s="5">
        <f>FM_IS_ebit_H+FM_IS_interest_expense_H+FM_IS_interest_income_H+FM_IS_other_income_H+FM_IS_is_1769921646914_43p8ji241_H</f>
        <v>0</v>
      </c>
    </row>
    <row r="24" spans="1:8" s="6" customFormat="1" x14ac:dyDescent="0.2">
      <c r="A24" s="7" t="s">
        <v>29</v>
      </c>
      <c r="B24" s="8">
        <v>814000000</v>
      </c>
      <c r="C24" s="8">
        <v>1241000000</v>
      </c>
      <c r="D24" s="9"/>
      <c r="E24" s="9"/>
      <c r="F24" s="9"/>
      <c r="G24" s="9"/>
      <c r="H24" s="9"/>
    </row>
    <row r="25" spans="1:8" s="3" customFormat="1" x14ac:dyDescent="0.2">
      <c r="A25" s="4" t="s">
        <v>30</v>
      </c>
      <c r="B25" s="5">
        <f>FM_IS_ebt_B-FM_IS_tax_B</f>
        <v>4136000000</v>
      </c>
      <c r="C25" s="5">
        <f>FM_IS_ebt_C-FM_IS_tax_C</f>
        <v>6197000000</v>
      </c>
      <c r="D25" s="5">
        <f>FM_IS_ebt_D-FM_IS_tax_D</f>
        <v>0</v>
      </c>
      <c r="E25" s="5">
        <f>FM_IS_ebt_E-FM_IS_tax_E</f>
        <v>0</v>
      </c>
      <c r="F25" s="5">
        <f>FM_IS_ebt_F-FM_IS_tax_F</f>
        <v>0</v>
      </c>
      <c r="G25" s="5">
        <f>FM_IS_ebt_G-FM_IS_tax_G</f>
        <v>0</v>
      </c>
      <c r="H25" s="5">
        <f>FM_IS_ebt_H-FM_IS_tax_H</f>
        <v>0</v>
      </c>
    </row>
    <row r="26" spans="1:8" s="6" customFormat="1" x14ac:dyDescent="0.2">
      <c r="A26" s="10" t="s">
        <v>31</v>
      </c>
      <c r="B26" s="11">
        <f>IF(FM_IS_rev_B=0,0,FM_IS_net_income_B/FM_IS_rev_B)</f>
        <v>0.11865622400091803</v>
      </c>
      <c r="C26" s="11">
        <f>IF(FM_IS_rev_C=0,0,FM_IS_net_income_C/FM_IS_rev_C)</f>
        <v>0.16353080881382767</v>
      </c>
      <c r="D26" s="11">
        <f>IF(FM_IS_rev_D=0,0,FM_IS_net_income_D/FM_IS_rev_D)</f>
        <v>0</v>
      </c>
      <c r="E26" s="11">
        <f>IF(FM_IS_rev_E=0,0,FM_IS_net_income_E/FM_IS_rev_E)</f>
        <v>0</v>
      </c>
      <c r="F26" s="11">
        <f>IF(FM_IS_rev_F=0,0,FM_IS_net_income_F/FM_IS_rev_F)</f>
        <v>0</v>
      </c>
      <c r="G26" s="11">
        <f>IF(FM_IS_rev_G=0,0,FM_IS_net_income_G/FM_IS_rev_G)</f>
        <v>0</v>
      </c>
      <c r="H26" s="11">
        <f>IF(FM_IS_rev_H=0,0,FM_IS_net_income_H/FM_IS_rev_H)</f>
        <v>0</v>
      </c>
    </row>
    <row r="29" spans="1:8" x14ac:dyDescent="0.2">
      <c r="A29" s="12" t="s">
        <v>32</v>
      </c>
    </row>
    <row r="30" spans="1:8" x14ac:dyDescent="0.2">
      <c r="A30" s="13" t="s">
        <v>33</v>
      </c>
    </row>
    <row r="31" spans="1:8" s="14" customFormat="1" x14ac:dyDescent="0.2">
      <c r="A31" s="14" t="s">
        <v>34</v>
      </c>
      <c r="B31" s="14" t="s">
        <v>2</v>
      </c>
      <c r="C31" s="14" t="s">
        <v>3</v>
      </c>
      <c r="D31" s="14" t="s">
        <v>4</v>
      </c>
      <c r="E31" s="14" t="s">
        <v>5</v>
      </c>
      <c r="F31" s="14" t="s">
        <v>6</v>
      </c>
      <c r="G31" s="14" t="s">
        <v>7</v>
      </c>
      <c r="H31" s="14" t="s">
        <v>8</v>
      </c>
    </row>
    <row r="32" spans="1:8" s="15" customFormat="1" x14ac:dyDescent="0.2">
      <c r="A32" s="15" t="s">
        <v>35</v>
      </c>
      <c r="B32" s="16">
        <v>431</v>
      </c>
      <c r="C32" s="16">
        <v>518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</row>
    <row r="33" spans="1:8" s="15" customFormat="1" x14ac:dyDescent="0.2">
      <c r="A33" s="15" t="s">
        <v>36</v>
      </c>
      <c r="B33" s="16">
        <v>972</v>
      </c>
      <c r="C33" s="16">
        <v>1091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</row>
    <row r="34" spans="1:8" s="15" customFormat="1" x14ac:dyDescent="0.2">
      <c r="A34" s="15" t="s">
        <v>37</v>
      </c>
      <c r="B34" s="16">
        <v>1062</v>
      </c>
      <c r="C34" s="16">
        <v>1205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</row>
    <row r="35" spans="1:8" s="15" customFormat="1" x14ac:dyDescent="0.2">
      <c r="A35" s="15" t="s">
        <v>38</v>
      </c>
      <c r="B35" s="16">
        <v>299</v>
      </c>
      <c r="C35" s="16">
        <v>367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</row>
    <row r="36" spans="1:8" s="15" customFormat="1" x14ac:dyDescent="0.2">
      <c r="A36" s="15" t="s">
        <v>39</v>
      </c>
      <c r="B36" s="16">
        <v>23</v>
      </c>
      <c r="C36" s="16">
        <v>2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</row>
    <row r="37" spans="1:8" x14ac:dyDescent="0.2">
      <c r="A37" s="17" t="s">
        <v>40</v>
      </c>
      <c r="B37" s="18">
        <f t="shared" ref="B37:H37" si="0">SUM(B32,B33,B34,B35,B36)</f>
        <v>2787</v>
      </c>
      <c r="C37" s="18">
        <f t="shared" si="0"/>
        <v>3183</v>
      </c>
      <c r="D37" s="18">
        <f t="shared" si="0"/>
        <v>0</v>
      </c>
      <c r="E37" s="18">
        <f t="shared" si="0"/>
        <v>0</v>
      </c>
      <c r="F37" s="18">
        <f t="shared" si="0"/>
        <v>0</v>
      </c>
      <c r="G37" s="18">
        <f t="shared" si="0"/>
        <v>0</v>
      </c>
      <c r="H37" s="18">
        <f t="shared" si="0"/>
        <v>0</v>
      </c>
    </row>
    <row r="40" spans="1:8" s="19" customFormat="1" ht="16" x14ac:dyDescent="0.2">
      <c r="A40" s="20" t="s">
        <v>41</v>
      </c>
    </row>
    <row r="42" spans="1:8" s="21" customFormat="1" x14ac:dyDescent="0.2">
      <c r="A42" s="22" t="s">
        <v>42</v>
      </c>
    </row>
    <row r="43" spans="1:8" s="23" customFormat="1" x14ac:dyDescent="0.2">
      <c r="A43" s="24" t="s">
        <v>43</v>
      </c>
    </row>
    <row r="44" spans="1:8" s="6" customFormat="1" x14ac:dyDescent="0.2">
      <c r="A44" s="7" t="s">
        <v>44</v>
      </c>
      <c r="B44" s="8">
        <v>8472000000</v>
      </c>
      <c r="C44" s="8">
        <v>8848000000</v>
      </c>
      <c r="D44" s="9"/>
      <c r="E44" s="9"/>
      <c r="F44" s="9"/>
      <c r="G44" s="9"/>
      <c r="H44" s="9"/>
    </row>
    <row r="45" spans="1:8" s="6" customFormat="1" x14ac:dyDescent="0.2">
      <c r="A45" s="7" t="s">
        <v>45</v>
      </c>
      <c r="B45" s="8">
        <v>11414000000</v>
      </c>
      <c r="C45" s="8">
        <v>11945000000</v>
      </c>
      <c r="D45" s="9"/>
      <c r="E45" s="9"/>
      <c r="F45" s="9"/>
      <c r="G45" s="9"/>
      <c r="H45" s="9"/>
    </row>
    <row r="46" spans="1:8" s="6" customFormat="1" x14ac:dyDescent="0.2">
      <c r="A46" s="7" t="s">
        <v>46</v>
      </c>
      <c r="B46" s="8">
        <v>0</v>
      </c>
      <c r="C46" s="8">
        <v>0</v>
      </c>
      <c r="D46" s="9"/>
      <c r="E46" s="9"/>
      <c r="F46" s="9"/>
      <c r="G46" s="9"/>
      <c r="H46" s="9"/>
    </row>
    <row r="47" spans="1:8" s="6" customFormat="1" x14ac:dyDescent="0.2">
      <c r="A47" s="7" t="s">
        <v>47</v>
      </c>
      <c r="B47" s="8">
        <v>0</v>
      </c>
      <c r="C47" s="8">
        <v>0</v>
      </c>
      <c r="D47" s="9"/>
      <c r="E47" s="9"/>
      <c r="F47" s="9"/>
      <c r="G47" s="9"/>
      <c r="H47" s="9"/>
    </row>
    <row r="48" spans="1:8" s="6" customFormat="1" x14ac:dyDescent="0.2">
      <c r="A48" s="7" t="s">
        <v>48</v>
      </c>
      <c r="B48" s="8">
        <v>1561000000</v>
      </c>
      <c r="C48" s="8">
        <v>1779000000</v>
      </c>
      <c r="D48" s="9"/>
      <c r="E48" s="9"/>
      <c r="F48" s="9"/>
      <c r="G48" s="9"/>
      <c r="H48" s="9"/>
    </row>
    <row r="49" spans="1:8" s="6" customFormat="1" x14ac:dyDescent="0.2">
      <c r="A49" s="7" t="s">
        <v>49</v>
      </c>
      <c r="B49" s="8">
        <v>5722000000</v>
      </c>
      <c r="C49" s="8">
        <v>5184000000</v>
      </c>
      <c r="D49" s="9"/>
      <c r="E49" s="9"/>
      <c r="F49" s="9"/>
      <c r="G49" s="9"/>
      <c r="H49" s="9"/>
    </row>
    <row r="50" spans="1:8" s="6" customFormat="1" x14ac:dyDescent="0.2">
      <c r="A50" s="7" t="s">
        <v>50</v>
      </c>
      <c r="B50" s="8">
        <v>1905000000</v>
      </c>
      <c r="C50" s="8">
        <v>1971000000</v>
      </c>
      <c r="D50" s="9"/>
      <c r="E50" s="9"/>
      <c r="F50" s="9"/>
      <c r="G50" s="9"/>
      <c r="H50" s="9"/>
    </row>
    <row r="52" spans="1:8" s="3" customFormat="1" x14ac:dyDescent="0.2">
      <c r="A52" s="4" t="s">
        <v>51</v>
      </c>
      <c r="B52" s="5">
        <f>FM_BS_cash_B+FM_BS_ar_B+FM_BS_inventory_B+FM_BS_other_ca_B+FM_BS_bs_id_1770048320987_gzfnx4zx9_B+FM_BS_bs_id_1770048459385_xd7n0csvm_B+FM_BS_bs_id_1770049941670_jrt887v4i_B</f>
        <v>29074000000</v>
      </c>
      <c r="C52" s="5">
        <f>FM_BS_cash_C+FM_BS_ar_C+FM_BS_inventory_C+FM_BS_other_ca_C+FM_BS_bs_id_1770048320987_gzfnx4zx9_C+FM_BS_bs_id_1770048459385_xd7n0csvm_C+FM_BS_bs_id_1770049941670_jrt887v4i_C</f>
        <v>29727000000</v>
      </c>
      <c r="D52" s="5">
        <f>FM_BS_cash_D+FM_BS_ar_D+FM_BS_inventory_D+FM_BS_other_ca_D+FM_BS_bs_id_1770048320987_gzfnx4zx9_D+FM_BS_bs_id_1770048459385_xd7n0csvm_D+FM_BS_bs_id_1770049941670_jrt887v4i_D</f>
        <v>0</v>
      </c>
      <c r="E52" s="5">
        <f>FM_BS_cash_E+FM_BS_ar_E+FM_BS_inventory_E+FM_BS_other_ca_E+FM_BS_bs_id_1770048320987_gzfnx4zx9_E+FM_BS_bs_id_1770048459385_xd7n0csvm_E+FM_BS_bs_id_1770049941670_jrt887v4i_E</f>
        <v>0</v>
      </c>
      <c r="F52" s="5">
        <f>FM_BS_cash_F+FM_BS_ar_F+FM_BS_inventory_F+FM_BS_other_ca_F+FM_BS_bs_id_1770048320987_gzfnx4zx9_F+FM_BS_bs_id_1770048459385_xd7n0csvm_F+FM_BS_bs_id_1770049941670_jrt887v4i_F</f>
        <v>0</v>
      </c>
      <c r="G52" s="5">
        <f>FM_BS_cash_G+FM_BS_ar_G+FM_BS_inventory_G+FM_BS_other_ca_G+FM_BS_bs_id_1770048320987_gzfnx4zx9_G+FM_BS_bs_id_1770048459385_xd7n0csvm_G+FM_BS_bs_id_1770049941670_jrt887v4i_G</f>
        <v>0</v>
      </c>
      <c r="H52" s="5">
        <f>FM_BS_cash_H+FM_BS_ar_H+FM_BS_inventory_H+FM_BS_other_ca_H+FM_BS_bs_id_1770048320987_gzfnx4zx9_H+FM_BS_bs_id_1770048459385_xd7n0csvm_H+FM_BS_bs_id_1770049941670_jrt887v4i_H</f>
        <v>0</v>
      </c>
    </row>
    <row r="53" spans="1:8" s="23" customFormat="1" x14ac:dyDescent="0.2">
      <c r="A53" s="24" t="s">
        <v>52</v>
      </c>
    </row>
    <row r="54" spans="1:8" s="6" customFormat="1" x14ac:dyDescent="0.2">
      <c r="A54" s="7" t="s">
        <v>53</v>
      </c>
      <c r="B54" s="8">
        <v>3689000000</v>
      </c>
      <c r="C54" s="8">
        <v>3236000000</v>
      </c>
      <c r="D54" s="9"/>
      <c r="E54" s="9"/>
      <c r="F54" s="9"/>
      <c r="G54" s="9"/>
      <c r="H54" s="9"/>
    </row>
    <row r="55" spans="1:8" s="6" customFormat="1" x14ac:dyDescent="0.2">
      <c r="A55" s="7" t="s">
        <v>54</v>
      </c>
      <c r="B55" s="8">
        <v>48620000000</v>
      </c>
      <c r="C55" s="8">
        <v>51283000000</v>
      </c>
      <c r="D55" s="9"/>
      <c r="E55" s="9"/>
      <c r="F55" s="9"/>
      <c r="G55" s="9"/>
      <c r="H55" s="9"/>
    </row>
    <row r="56" spans="1:8" s="6" customFormat="1" x14ac:dyDescent="0.2">
      <c r="A56" s="7" t="s">
        <v>55</v>
      </c>
      <c r="B56" s="8">
        <v>5278000000</v>
      </c>
      <c r="C56" s="8">
        <v>4428000000</v>
      </c>
      <c r="D56" s="9"/>
      <c r="E56" s="9"/>
      <c r="F56" s="9"/>
      <c r="G56" s="9"/>
      <c r="H56" s="9"/>
    </row>
    <row r="57" spans="1:8" s="6" customFormat="1" x14ac:dyDescent="0.2">
      <c r="A57" s="7" t="s">
        <v>56</v>
      </c>
      <c r="B57" s="8">
        <v>2515000000</v>
      </c>
      <c r="C57" s="8">
        <v>2475000000</v>
      </c>
      <c r="D57" s="9"/>
      <c r="E57" s="9"/>
      <c r="F57" s="9"/>
      <c r="G57" s="9"/>
      <c r="H57" s="9"/>
    </row>
    <row r="58" spans="1:8" s="6" customFormat="1" x14ac:dyDescent="0.2">
      <c r="A58" s="7" t="s">
        <v>57</v>
      </c>
      <c r="B58" s="8">
        <v>3433000000</v>
      </c>
      <c r="C58" s="8">
        <v>4770000000</v>
      </c>
      <c r="D58" s="9"/>
      <c r="E58" s="9"/>
      <c r="F58" s="9"/>
      <c r="G58" s="9"/>
      <c r="H58" s="9"/>
    </row>
    <row r="59" spans="1:8" s="6" customFormat="1" x14ac:dyDescent="0.2">
      <c r="A59" s="7" t="s">
        <v>58</v>
      </c>
      <c r="B59" s="8">
        <v>4848000000</v>
      </c>
      <c r="C59" s="8">
        <v>4852000000</v>
      </c>
      <c r="D59" s="9"/>
      <c r="E59" s="9"/>
      <c r="F59" s="9"/>
      <c r="G59" s="9"/>
      <c r="H59" s="9"/>
    </row>
    <row r="60" spans="1:8" s="6" customFormat="1" x14ac:dyDescent="0.2">
      <c r="A60" s="7" t="s">
        <v>59</v>
      </c>
      <c r="B60" s="8">
        <v>2366000000</v>
      </c>
      <c r="C60" s="8">
        <v>2157000000</v>
      </c>
      <c r="D60" s="9"/>
      <c r="E60" s="9"/>
      <c r="F60" s="9"/>
      <c r="G60" s="9"/>
      <c r="H60" s="9"/>
    </row>
    <row r="61" spans="1:8" s="3" customFormat="1" x14ac:dyDescent="0.2">
      <c r="A61" s="4" t="s">
        <v>60</v>
      </c>
      <c r="B61" s="5">
        <f>FM_BS_ppe_B+FM_BS_goodwill_B+FM_BS_intangible_assets_B+FM_BS_other_assets_B+FM_BS_bs_id_1770056612597_tdw4jdt8l_B+FM_BS_bs_id_1770056676438_w7yyh3xmw_B+FM_BS_bs_id_1770056774071_hdym4nxsx_B</f>
        <v>70749000000</v>
      </c>
      <c r="C61" s="5">
        <f>FM_BS_ppe_C+FM_BS_goodwill_C+FM_BS_intangible_assets_C+FM_BS_other_assets_C+FM_BS_bs_id_1770056612597_tdw4jdt8l_C+FM_BS_bs_id_1770056676438_w7yyh3xmw_C+FM_BS_bs_id_1770056774071_hdym4nxsx_C</f>
        <v>73201000000</v>
      </c>
      <c r="D61" s="5">
        <f>FM_BS_ppe_D+FM_BS_goodwill_D+FM_BS_intangible_assets_D+FM_BS_other_assets_D+FM_BS_bs_id_1770056612597_tdw4jdt8l_D+FM_BS_bs_id_1770056676438_w7yyh3xmw_D+FM_BS_bs_id_1770056774071_hdym4nxsx_D</f>
        <v>0</v>
      </c>
      <c r="E61" s="5">
        <f>FM_BS_ppe_E+FM_BS_goodwill_E+FM_BS_intangible_assets_E+FM_BS_other_assets_E+FM_BS_bs_id_1770056612597_tdw4jdt8l_E+FM_BS_bs_id_1770056676438_w7yyh3xmw_E+FM_BS_bs_id_1770056774071_hdym4nxsx_E</f>
        <v>0</v>
      </c>
      <c r="F61" s="5">
        <f>FM_BS_ppe_F+FM_BS_goodwill_F+FM_BS_intangible_assets_F+FM_BS_other_assets_F+FM_BS_bs_id_1770056612597_tdw4jdt8l_F+FM_BS_bs_id_1770056676438_w7yyh3xmw_F+FM_BS_bs_id_1770056774071_hdym4nxsx_F</f>
        <v>0</v>
      </c>
      <c r="G61" s="5">
        <f>FM_BS_ppe_G+FM_BS_goodwill_G+FM_BS_intangible_assets_G+FM_BS_other_assets_G+FM_BS_bs_id_1770056612597_tdw4jdt8l_G+FM_BS_bs_id_1770056676438_w7yyh3xmw_G+FM_BS_bs_id_1770056774071_hdym4nxsx_G</f>
        <v>0</v>
      </c>
      <c r="H61" s="5">
        <f>FM_BS_ppe_H+FM_BS_goodwill_H+FM_BS_intangible_assets_H+FM_BS_other_assets_H+FM_BS_bs_id_1770056612597_tdw4jdt8l_H+FM_BS_bs_id_1770056676438_w7yyh3xmw_H+FM_BS_bs_id_1770056774071_hdym4nxsx_H</f>
        <v>0</v>
      </c>
    </row>
    <row r="62" spans="1:8" s="3" customFormat="1" x14ac:dyDescent="0.2">
      <c r="A62" s="4" t="s">
        <v>61</v>
      </c>
      <c r="B62" s="5">
        <f>FM_BS_total_current_assets_B+FM_BS_total_fixed_assets_B</f>
        <v>99823000000</v>
      </c>
      <c r="C62" s="5">
        <f>FM_BS_total_current_assets_C+FM_BS_total_fixed_assets_C</f>
        <v>102928000000</v>
      </c>
      <c r="D62" s="5">
        <f>FM_BS_total_current_assets_D+FM_BS_total_fixed_assets_D</f>
        <v>0</v>
      </c>
      <c r="E62" s="5">
        <f>FM_BS_total_current_assets_E+FM_BS_total_fixed_assets_E</f>
        <v>0</v>
      </c>
      <c r="F62" s="5">
        <f>FM_BS_total_current_assets_F+FM_BS_total_fixed_assets_F</f>
        <v>0</v>
      </c>
      <c r="G62" s="5">
        <f>FM_BS_total_current_assets_G+FM_BS_total_fixed_assets_G</f>
        <v>0</v>
      </c>
      <c r="H62" s="5">
        <f>FM_BS_total_current_assets_H+FM_BS_total_fixed_assets_H</f>
        <v>0</v>
      </c>
    </row>
    <row r="63" spans="1:8" s="21" customFormat="1" x14ac:dyDescent="0.2">
      <c r="A63" s="22" t="s">
        <v>62</v>
      </c>
    </row>
    <row r="64" spans="1:8" s="23" customFormat="1" x14ac:dyDescent="0.2">
      <c r="A64" s="24" t="s">
        <v>63</v>
      </c>
    </row>
    <row r="65" spans="1:8" s="6" customFormat="1" x14ac:dyDescent="0.2">
      <c r="A65" s="7" t="s">
        <v>64</v>
      </c>
      <c r="B65" s="8">
        <v>6111000000</v>
      </c>
      <c r="C65" s="8">
        <v>6658000000</v>
      </c>
      <c r="D65" s="9"/>
      <c r="E65" s="9"/>
      <c r="F65" s="9"/>
      <c r="G65" s="9"/>
      <c r="H65" s="9"/>
    </row>
    <row r="66" spans="1:8" s="6" customFormat="1" x14ac:dyDescent="0.2">
      <c r="A66" s="7" t="s">
        <v>65</v>
      </c>
      <c r="B66" s="8">
        <v>999000000</v>
      </c>
      <c r="C66" s="8">
        <v>0</v>
      </c>
      <c r="D66" s="9"/>
      <c r="E66" s="9"/>
      <c r="F66" s="9"/>
      <c r="G66" s="9"/>
      <c r="H66" s="9"/>
    </row>
    <row r="67" spans="1:8" s="6" customFormat="1" x14ac:dyDescent="0.2">
      <c r="A67" s="7" t="s">
        <v>66</v>
      </c>
      <c r="B67" s="8">
        <v>518000000</v>
      </c>
      <c r="C67" s="8">
        <v>579000000</v>
      </c>
      <c r="D67" s="9"/>
      <c r="E67" s="9"/>
      <c r="F67" s="9"/>
      <c r="G67" s="9"/>
      <c r="H67" s="9"/>
    </row>
    <row r="68" spans="1:8" s="6" customFormat="1" x14ac:dyDescent="0.2">
      <c r="A68" s="7" t="s">
        <v>67</v>
      </c>
      <c r="B68" s="8">
        <v>19003000000</v>
      </c>
      <c r="C68" s="8">
        <v>20743000000</v>
      </c>
      <c r="D68" s="9"/>
      <c r="E68" s="9"/>
      <c r="F68" s="9"/>
      <c r="G68" s="9"/>
      <c r="H68" s="9"/>
    </row>
    <row r="69" spans="1:8" s="3" customFormat="1" x14ac:dyDescent="0.2">
      <c r="A69" s="4" t="s">
        <v>68</v>
      </c>
      <c r="B69" s="5">
        <f>FM_BS_ap_B+FM_BS_st_debt_B+FM_BS_other_cl_B+FM_BS_bs_id_1770056988059_zdf3iomrx_B</f>
        <v>26631000000</v>
      </c>
      <c r="C69" s="5">
        <f>FM_BS_ap_C+FM_BS_st_debt_C+FM_BS_other_cl_C+FM_BS_bs_id_1770056988059_zdf3iomrx_C</f>
        <v>27980000000</v>
      </c>
      <c r="D69" s="5">
        <f>FM_BS_ap_D+FM_BS_st_debt_D+FM_BS_other_cl_D+FM_BS_bs_id_1770056988059_zdf3iomrx_D</f>
        <v>0</v>
      </c>
      <c r="E69" s="5">
        <f>FM_BS_ap_E+FM_BS_st_debt_E+FM_BS_other_cl_E+FM_BS_bs_id_1770056988059_zdf3iomrx_E</f>
        <v>0</v>
      </c>
      <c r="F69" s="5">
        <f>FM_BS_ap_F+FM_BS_st_debt_F+FM_BS_other_cl_F+FM_BS_bs_id_1770056988059_zdf3iomrx_F</f>
        <v>0</v>
      </c>
      <c r="G69" s="5">
        <f>FM_BS_ap_G+FM_BS_st_debt_G+FM_BS_other_cl_G+FM_BS_bs_id_1770056988059_zdf3iomrx_G</f>
        <v>0</v>
      </c>
      <c r="H69" s="5">
        <f>FM_BS_ap_H+FM_BS_st_debt_H+FM_BS_other_cl_H+FM_BS_bs_id_1770056988059_zdf3iomrx_H</f>
        <v>0</v>
      </c>
    </row>
    <row r="70" spans="1:8" s="23" customFormat="1" x14ac:dyDescent="0.2">
      <c r="A70" s="24" t="s">
        <v>69</v>
      </c>
    </row>
    <row r="71" spans="1:8" s="6" customFormat="1" x14ac:dyDescent="0.2">
      <c r="A71" s="7" t="s">
        <v>70</v>
      </c>
      <c r="B71" s="8">
        <v>8427000000</v>
      </c>
      <c r="C71" s="8">
        <v>8433000000</v>
      </c>
      <c r="D71" s="9"/>
      <c r="E71" s="9"/>
      <c r="F71" s="9"/>
      <c r="G71" s="9"/>
      <c r="H71" s="9"/>
    </row>
    <row r="72" spans="1:8" s="6" customFormat="1" x14ac:dyDescent="0.2">
      <c r="A72" s="7" t="s">
        <v>71</v>
      </c>
      <c r="B72" s="8">
        <v>2644000000</v>
      </c>
      <c r="C72" s="8">
        <v>2380000000</v>
      </c>
      <c r="D72" s="9"/>
      <c r="E72" s="9"/>
      <c r="F72" s="9"/>
      <c r="G72" s="9"/>
      <c r="H72" s="9"/>
    </row>
    <row r="73" spans="1:8" s="6" customFormat="1" x14ac:dyDescent="0.2">
      <c r="A73" s="7" t="s">
        <v>72</v>
      </c>
      <c r="B73" s="8">
        <v>2475000000</v>
      </c>
      <c r="C73" s="8">
        <v>2962000000</v>
      </c>
      <c r="D73" s="9"/>
      <c r="E73" s="9"/>
      <c r="F73" s="9"/>
      <c r="G73" s="9"/>
      <c r="H73" s="9"/>
    </row>
    <row r="74" spans="1:8" s="3" customFormat="1" x14ac:dyDescent="0.2">
      <c r="A74" s="4" t="s">
        <v>73</v>
      </c>
      <c r="B74" s="5">
        <f>FM_BS_lt_debt_B+FM_BS_bs_id_1769822046403_u0zjs4plt_B+FM_BS_other_liab_B</f>
        <v>13546000000</v>
      </c>
      <c r="C74" s="5">
        <f>FM_BS_lt_debt_C+FM_BS_bs_id_1769822046403_u0zjs4plt_C+FM_BS_other_liab_C</f>
        <v>13775000000</v>
      </c>
      <c r="D74" s="5">
        <f>FM_BS_lt_debt_D+FM_BS_bs_id_1769822046403_u0zjs4plt_D+FM_BS_other_liab_D</f>
        <v>0</v>
      </c>
      <c r="E74" s="5">
        <f>FM_BS_lt_debt_E+FM_BS_bs_id_1769822046403_u0zjs4plt_E+FM_BS_other_liab_E</f>
        <v>0</v>
      </c>
      <c r="F74" s="5">
        <f>FM_BS_lt_debt_F+FM_BS_bs_id_1769822046403_u0zjs4plt_F+FM_BS_other_liab_F</f>
        <v>0</v>
      </c>
      <c r="G74" s="5">
        <f>FM_BS_lt_debt_G+FM_BS_bs_id_1769822046403_u0zjs4plt_G+FM_BS_other_liab_G</f>
        <v>0</v>
      </c>
      <c r="H74" s="5">
        <f>FM_BS_lt_debt_H+FM_BS_bs_id_1769822046403_u0zjs4plt_H+FM_BS_other_liab_H</f>
        <v>0</v>
      </c>
    </row>
    <row r="75" spans="1:8" s="3" customFormat="1" x14ac:dyDescent="0.2">
      <c r="A75" s="4" t="s">
        <v>74</v>
      </c>
      <c r="B75" s="5">
        <f>FM_BS_total_current_liabilities_B+FM_BS_total_non_current_liabilities_B</f>
        <v>40177000000</v>
      </c>
      <c r="C75" s="5">
        <f>FM_BS_total_current_liabilities_C+FM_BS_total_non_current_liabilities_C</f>
        <v>41755000000</v>
      </c>
      <c r="D75" s="5">
        <f>FM_BS_total_current_liabilities_D+FM_BS_total_non_current_liabilities_D</f>
        <v>0</v>
      </c>
      <c r="E75" s="5">
        <f>FM_BS_total_current_liabilities_E+FM_BS_total_non_current_liabilities_E</f>
        <v>0</v>
      </c>
      <c r="F75" s="5">
        <f>FM_BS_total_current_liabilities_F+FM_BS_total_non_current_liabilities_F</f>
        <v>0</v>
      </c>
      <c r="G75" s="5">
        <f>FM_BS_total_current_liabilities_G+FM_BS_total_non_current_liabilities_G</f>
        <v>0</v>
      </c>
      <c r="H75" s="5">
        <f>FM_BS_total_current_liabilities_H+FM_BS_total_non_current_liabilities_H</f>
        <v>0</v>
      </c>
    </row>
    <row r="76" spans="1:8" s="21" customFormat="1" x14ac:dyDescent="0.2">
      <c r="A76" s="22" t="s">
        <v>75</v>
      </c>
    </row>
    <row r="77" spans="1:8" s="23" customFormat="1" x14ac:dyDescent="0.2">
      <c r="A77" s="24" t="s">
        <v>76</v>
      </c>
    </row>
    <row r="78" spans="1:8" s="6" customFormat="1" x14ac:dyDescent="0.2">
      <c r="A78" s="7" t="s">
        <v>77</v>
      </c>
      <c r="B78" s="8">
        <v>1000000</v>
      </c>
      <c r="C78" s="8">
        <v>1000000</v>
      </c>
      <c r="D78" s="9"/>
      <c r="E78" s="9"/>
      <c r="F78" s="9"/>
      <c r="G78" s="9"/>
      <c r="H78" s="9"/>
    </row>
    <row r="79" spans="1:8" s="6" customFormat="1" x14ac:dyDescent="0.2">
      <c r="A79" s="7" t="s">
        <v>78</v>
      </c>
      <c r="B79" s="9"/>
      <c r="C79" s="9"/>
      <c r="D79" s="9"/>
      <c r="E79" s="9"/>
      <c r="F79" s="9"/>
      <c r="G79" s="9"/>
      <c r="H79" s="9"/>
    </row>
    <row r="80" spans="1:8" s="6" customFormat="1" x14ac:dyDescent="0.2">
      <c r="A80" s="7" t="s">
        <v>79</v>
      </c>
      <c r="B80" s="8">
        <v>11721000000</v>
      </c>
      <c r="C80" s="8">
        <v>16369000000</v>
      </c>
      <c r="D80" s="9"/>
      <c r="E80" s="9"/>
      <c r="F80" s="9"/>
      <c r="G80" s="9"/>
      <c r="H80" s="9"/>
    </row>
    <row r="81" spans="1:8" s="6" customFormat="1" x14ac:dyDescent="0.2">
      <c r="A81" s="7" t="s">
        <v>80</v>
      </c>
      <c r="B81" s="8">
        <v>59841000000</v>
      </c>
      <c r="C81" s="8">
        <v>64576000000</v>
      </c>
      <c r="D81" s="9"/>
      <c r="E81" s="9"/>
      <c r="F81" s="9"/>
      <c r="G81" s="9"/>
      <c r="H81" s="9"/>
    </row>
    <row r="82" spans="1:8" s="6" customFormat="1" x14ac:dyDescent="0.2">
      <c r="A82" s="7" t="s">
        <v>81</v>
      </c>
      <c r="B82" s="8">
        <v>-11692000000</v>
      </c>
      <c r="C82" s="8">
        <v>-19507000000</v>
      </c>
      <c r="D82" s="9"/>
      <c r="E82" s="9"/>
      <c r="F82" s="9"/>
      <c r="G82" s="9"/>
      <c r="H82" s="9"/>
    </row>
    <row r="83" spans="1:8" s="6" customFormat="1" x14ac:dyDescent="0.2">
      <c r="A83" s="7" t="s">
        <v>82</v>
      </c>
      <c r="B83" s="8">
        <v>-225000000</v>
      </c>
      <c r="C83" s="8">
        <v>-266000000</v>
      </c>
      <c r="D83" s="9"/>
      <c r="E83" s="9"/>
      <c r="F83" s="9"/>
      <c r="G83" s="9"/>
      <c r="H83" s="9"/>
    </row>
    <row r="84" spans="1:8" s="3" customFormat="1" x14ac:dyDescent="0.2">
      <c r="A84" s="4" t="s">
        <v>83</v>
      </c>
      <c r="B84" s="5">
        <f>FM_BS_common_stock_B+FM_BS_preferred_stock_B+FM_BS_retained_earnings_B+FM_BS_apic_B+FM_BS_treasury_stock_B+FM_BS_aoci_B</f>
        <v>59646000000</v>
      </c>
      <c r="C84" s="5">
        <f>FM_BS_common_stock_C+FM_BS_preferred_stock_C+FM_BS_retained_earnings_C+FM_BS_apic_C+FM_BS_treasury_stock_C+FM_BS_aoci_C</f>
        <v>61173000000</v>
      </c>
      <c r="D84" s="5">
        <f>FM_BS_common_stock_D+FM_BS_preferred_stock_D+FM_BS_retained_earnings_D+FM_BS_apic_D+FM_BS_treasury_stock_D+FM_BS_aoci_D</f>
        <v>0</v>
      </c>
      <c r="E84" s="5">
        <f>FM_BS_common_stock_E+FM_BS_preferred_stock_E+FM_BS_retained_earnings_E+FM_BS_apic_E+FM_BS_treasury_stock_E+FM_BS_aoci_E</f>
        <v>0</v>
      </c>
      <c r="F84" s="5">
        <f>FM_BS_common_stock_F+FM_BS_preferred_stock_F+FM_BS_retained_earnings_F+FM_BS_apic_F+FM_BS_treasury_stock_F+FM_BS_aoci_F</f>
        <v>0</v>
      </c>
      <c r="G84" s="5">
        <f>FM_BS_common_stock_G+FM_BS_preferred_stock_G+FM_BS_retained_earnings_G+FM_BS_apic_G+FM_BS_treasury_stock_G+FM_BS_aoci_G</f>
        <v>0</v>
      </c>
      <c r="H84" s="5">
        <f>FM_BS_common_stock_H+FM_BS_preferred_stock_H+FM_BS_retained_earnings_H+FM_BS_apic_H+FM_BS_treasury_stock_H+FM_BS_aoci_H</f>
        <v>0</v>
      </c>
    </row>
    <row r="85" spans="1:8" s="3" customFormat="1" x14ac:dyDescent="0.2">
      <c r="A85" s="4" t="s">
        <v>84</v>
      </c>
      <c r="B85" s="5">
        <f>FM_BS_total_liabilities_B+FM_BS_total_equity_B</f>
        <v>99823000000</v>
      </c>
      <c r="C85" s="5">
        <f>FM_BS_total_liabilities_C+FM_BS_total_equity_C</f>
        <v>102928000000</v>
      </c>
      <c r="D85" s="5">
        <f>FM_BS_total_liabilities_D+FM_BS_total_equity_D</f>
        <v>0</v>
      </c>
      <c r="E85" s="5">
        <f>FM_BS_total_liabilities_E+FM_BS_total_equity_E</f>
        <v>0</v>
      </c>
      <c r="F85" s="5">
        <f>FM_BS_total_liabilities_F+FM_BS_total_equity_F</f>
        <v>0</v>
      </c>
      <c r="G85" s="5">
        <f>FM_BS_total_liabilities_G+FM_BS_total_equity_G</f>
        <v>0</v>
      </c>
      <c r="H85" s="5">
        <f>FM_BS_total_liabilities_H+FM_BS_total_equity_H</f>
        <v>0</v>
      </c>
    </row>
    <row r="88" spans="1:8" s="6" customFormat="1" ht="16" x14ac:dyDescent="0.2">
      <c r="A88" s="25" t="s">
        <v>85</v>
      </c>
    </row>
    <row r="89" spans="1:8" x14ac:dyDescent="0.2">
      <c r="A89" s="26" t="s">
        <v>86</v>
      </c>
    </row>
    <row r="90" spans="1:8" x14ac:dyDescent="0.2">
      <c r="A90" s="27" t="s">
        <v>61</v>
      </c>
      <c r="B90" s="28">
        <f>FM_BS_total_assets_B</f>
        <v>99823000000</v>
      </c>
      <c r="C90" s="28">
        <f>FM_BS_total_assets_C</f>
        <v>102928000000</v>
      </c>
      <c r="D90" s="28">
        <f>FM_BS_total_assets_D</f>
        <v>0</v>
      </c>
      <c r="E90" s="28">
        <f>FM_BS_total_assets_E</f>
        <v>0</v>
      </c>
      <c r="F90" s="28">
        <f>FM_BS_total_assets_F</f>
        <v>0</v>
      </c>
      <c r="G90" s="28">
        <f>FM_BS_total_assets_G</f>
        <v>0</v>
      </c>
      <c r="H90" s="28">
        <f>FM_BS_total_assets_H</f>
        <v>0</v>
      </c>
    </row>
    <row r="91" spans="1:8" x14ac:dyDescent="0.2">
      <c r="A91" s="27" t="s">
        <v>87</v>
      </c>
      <c r="B91" s="28">
        <f>FM_BS_total_liab_and_equity_B</f>
        <v>99823000000</v>
      </c>
      <c r="C91" s="28">
        <f>FM_BS_total_liab_and_equity_C</f>
        <v>102928000000</v>
      </c>
      <c r="D91" s="28">
        <f>FM_BS_total_liab_and_equity_D</f>
        <v>0</v>
      </c>
      <c r="E91" s="28">
        <f>FM_BS_total_liab_and_equity_E</f>
        <v>0</v>
      </c>
      <c r="F91" s="28">
        <f>FM_BS_total_liab_and_equity_F</f>
        <v>0</v>
      </c>
      <c r="G91" s="28">
        <f>FM_BS_total_liab_and_equity_G</f>
        <v>0</v>
      </c>
      <c r="H91" s="28">
        <f>FM_BS_total_liab_and_equity_H</f>
        <v>0</v>
      </c>
    </row>
    <row r="92" spans="1:8" x14ac:dyDescent="0.2">
      <c r="A92" s="27" t="s">
        <v>88</v>
      </c>
      <c r="B92" s="29" t="str">
        <f t="shared" ref="B92:H92" si="1">IF(ABS(B90-B91)&lt;0.01,"BALANCED","OUT OF BALANCE")</f>
        <v>BALANCED</v>
      </c>
      <c r="C92" s="29" t="str">
        <f t="shared" si="1"/>
        <v>BALANCED</v>
      </c>
      <c r="D92" s="29" t="str">
        <f t="shared" si="1"/>
        <v>BALANCED</v>
      </c>
      <c r="E92" s="29" t="str">
        <f t="shared" si="1"/>
        <v>BALANCED</v>
      </c>
      <c r="F92" s="29" t="str">
        <f t="shared" si="1"/>
        <v>BALANCED</v>
      </c>
      <c r="G92" s="29" t="str">
        <f t="shared" si="1"/>
        <v>BALANCED</v>
      </c>
      <c r="H92" s="29" t="str">
        <f t="shared" si="1"/>
        <v>BALANCED</v>
      </c>
    </row>
    <row r="95" spans="1:8" s="19" customFormat="1" ht="16" x14ac:dyDescent="0.2">
      <c r="A95" s="20" t="s">
        <v>89</v>
      </c>
    </row>
    <row r="97" spans="1:8" s="21" customFormat="1" x14ac:dyDescent="0.2">
      <c r="A97" s="22" t="s">
        <v>90</v>
      </c>
    </row>
    <row r="98" spans="1:8" s="3" customFormat="1" x14ac:dyDescent="0.2">
      <c r="A98" s="4" t="s">
        <v>91</v>
      </c>
      <c r="B98" s="30">
        <v>4136000000</v>
      </c>
      <c r="C98" s="30">
        <v>6197000000</v>
      </c>
      <c r="D98" s="30">
        <v>0</v>
      </c>
      <c r="E98" s="30">
        <v>0</v>
      </c>
      <c r="F98" s="30">
        <v>0</v>
      </c>
      <c r="G98" s="30">
        <v>0</v>
      </c>
      <c r="H98" s="30">
        <v>0</v>
      </c>
    </row>
    <row r="99" spans="1:8" s="6" customFormat="1" x14ac:dyDescent="0.2">
      <c r="A99" s="7" t="s">
        <v>92</v>
      </c>
      <c r="B99" s="8">
        <v>3959000000</v>
      </c>
      <c r="C99" s="8">
        <v>3477000000</v>
      </c>
      <c r="D99" s="9"/>
      <c r="E99" s="9"/>
      <c r="F99" s="9"/>
      <c r="G99" s="9"/>
      <c r="H99" s="9"/>
    </row>
    <row r="100" spans="1:8" s="6" customFormat="1" x14ac:dyDescent="0.2">
      <c r="A100" s="7" t="s">
        <v>93</v>
      </c>
      <c r="B100" s="8">
        <v>1925000000</v>
      </c>
      <c r="C100" s="8">
        <v>2095000000</v>
      </c>
      <c r="D100" s="9"/>
      <c r="E100" s="9"/>
      <c r="F100" s="9"/>
      <c r="G100" s="9"/>
      <c r="H100" s="9"/>
    </row>
    <row r="101" spans="1:8" s="6" customFormat="1" x14ac:dyDescent="0.2">
      <c r="A101" s="7" t="s">
        <v>94</v>
      </c>
      <c r="B101" s="31">
        <v>2787000000</v>
      </c>
      <c r="C101" s="31">
        <v>3183000000</v>
      </c>
      <c r="D101" s="31">
        <v>0</v>
      </c>
      <c r="E101" s="31">
        <v>0</v>
      </c>
      <c r="F101" s="31">
        <v>0</v>
      </c>
      <c r="G101" s="31">
        <v>0</v>
      </c>
      <c r="H101" s="31">
        <v>0</v>
      </c>
    </row>
    <row r="102" spans="1:8" s="6" customFormat="1" x14ac:dyDescent="0.2">
      <c r="A102" s="7" t="s">
        <v>95</v>
      </c>
      <c r="B102" s="8">
        <v>277000000</v>
      </c>
      <c r="C102" s="8">
        <v>121000000</v>
      </c>
      <c r="D102" s="9"/>
      <c r="E102" s="9"/>
      <c r="F102" s="9"/>
      <c r="G102" s="9"/>
      <c r="H102" s="9"/>
    </row>
    <row r="103" spans="1:8" s="3" customFormat="1" x14ac:dyDescent="0.2">
      <c r="A103" s="4" t="s">
        <v>96</v>
      </c>
      <c r="B103" s="5">
        <f>FM_CFS_ar_B+FM_CFS_inventory_B+FM_CFS_other_ca_B+FM_CFS_bs_id_1770048320987_gzfnx4zx9_B+FM_CFS_bs_id_1770048459385_xd7n0csvm_B+FM_CFS_bs_id_1770049941670_jrt887v4i_B+FM_CFS_ap_B+FM_CFS_other_cl_B+FM_CFS_bs_id_1770056988059_zdf3iomrx_B+FM_CFS_id_1771430083743_61t4goaev_B</f>
        <v>-2850000000</v>
      </c>
      <c r="C103" s="5">
        <f>FM_CFS_ar_C+FM_CFS_inventory_C+FM_CFS_other_ca_C+FM_CFS_bs_id_1770048320987_gzfnx4zx9_C+FM_CFS_bs_id_1770048459385_xd7n0csvm_C+FM_CFS_bs_id_1770049941670_jrt887v4i_C+FM_CFS_ap_C+FM_CFS_other_cl_C+FM_CFS_bs_id_1770056988059_zdf3iomrx_C+FM_CFS_id_1771430083743_61t4goaev_C</f>
        <v>-1981000000</v>
      </c>
      <c r="D103" s="5">
        <f>FM_CFS_ar_D+FM_CFS_inventory_D+FM_CFS_other_ca_D+FM_CFS_bs_id_1770048320987_gzfnx4zx9_D+FM_CFS_bs_id_1770048459385_xd7n0csvm_D+FM_CFS_bs_id_1770049941670_jrt887v4i_D+FM_CFS_ap_D+FM_CFS_other_cl_D+FM_CFS_bs_id_1770056988059_zdf3iomrx_D+FM_CFS_id_1771430083743_61t4goaev_D</f>
        <v>0</v>
      </c>
      <c r="E103" s="5">
        <f>FM_CFS_ar_E+FM_CFS_inventory_E+FM_CFS_other_ca_E+FM_CFS_bs_id_1770048320987_gzfnx4zx9_E+FM_CFS_bs_id_1770048459385_xd7n0csvm_E+FM_CFS_bs_id_1770049941670_jrt887v4i_E+FM_CFS_ap_E+FM_CFS_other_cl_E+FM_CFS_bs_id_1770056988059_zdf3iomrx_E+FM_CFS_id_1771430083743_61t4goaev_E</f>
        <v>0</v>
      </c>
      <c r="F103" s="5">
        <f>FM_CFS_ar_F+FM_CFS_inventory_F+FM_CFS_other_ca_F+FM_CFS_bs_id_1770048320987_gzfnx4zx9_F+FM_CFS_bs_id_1770048459385_xd7n0csvm_F+FM_CFS_bs_id_1770049941670_jrt887v4i_F+FM_CFS_ap_F+FM_CFS_other_cl_F+FM_CFS_bs_id_1770056988059_zdf3iomrx_F+FM_CFS_id_1771430083743_61t4goaev_F</f>
        <v>0</v>
      </c>
      <c r="G103" s="5">
        <f>FM_CFS_ar_G+FM_CFS_inventory_G+FM_CFS_other_ca_G+FM_CFS_bs_id_1770048320987_gzfnx4zx9_G+FM_CFS_bs_id_1770048459385_xd7n0csvm_G+FM_CFS_bs_id_1770049941670_jrt887v4i_G+FM_CFS_ap_G+FM_CFS_other_cl_G+FM_CFS_bs_id_1770056988059_zdf3iomrx_G+FM_CFS_id_1771430083743_61t4goaev_G</f>
        <v>0</v>
      </c>
      <c r="H103" s="5">
        <f>FM_CFS_ar_H+FM_CFS_inventory_H+FM_CFS_other_ca_H+FM_CFS_bs_id_1770048320987_gzfnx4zx9_H+FM_CFS_bs_id_1770048459385_xd7n0csvm_H+FM_CFS_bs_id_1770049941670_jrt887v4i_H+FM_CFS_ap_H+FM_CFS_other_cl_H+FM_CFS_bs_id_1770056988059_zdf3iomrx_H+FM_CFS_id_1771430083743_61t4goaev_H</f>
        <v>0</v>
      </c>
    </row>
    <row r="104" spans="1:8" s="6" customFormat="1" x14ac:dyDescent="0.2">
      <c r="A104" s="7" t="s">
        <v>97</v>
      </c>
      <c r="B104" s="8">
        <v>-659000000</v>
      </c>
      <c r="C104" s="8">
        <v>-490000000</v>
      </c>
      <c r="D104" s="9"/>
      <c r="E104" s="9"/>
      <c r="F104" s="9"/>
      <c r="G104" s="9"/>
      <c r="H104" s="9"/>
    </row>
    <row r="105" spans="1:8" s="6" customFormat="1" x14ac:dyDescent="0.2">
      <c r="A105" s="7" t="s">
        <v>98</v>
      </c>
      <c r="B105" s="9"/>
      <c r="C105" s="9"/>
      <c r="D105" s="9"/>
      <c r="E105" s="9"/>
      <c r="F105" s="9"/>
      <c r="G105" s="9"/>
      <c r="H105" s="9"/>
    </row>
    <row r="106" spans="1:8" s="6" customFormat="1" x14ac:dyDescent="0.2">
      <c r="A106" s="7" t="s">
        <v>99</v>
      </c>
      <c r="B106" s="9"/>
      <c r="C106" s="9"/>
      <c r="D106" s="9"/>
      <c r="E106" s="9"/>
      <c r="F106" s="9"/>
      <c r="G106" s="9"/>
      <c r="H106" s="9"/>
    </row>
    <row r="107" spans="1:8" s="6" customFormat="1" x14ac:dyDescent="0.2">
      <c r="A107" s="7" t="s">
        <v>100</v>
      </c>
      <c r="B107" s="8">
        <v>-843000000</v>
      </c>
      <c r="C107" s="8">
        <v>-1495000000</v>
      </c>
      <c r="D107" s="9"/>
      <c r="E107" s="9"/>
      <c r="F107" s="9"/>
      <c r="G107" s="9"/>
      <c r="H107" s="9"/>
    </row>
    <row r="108" spans="1:8" s="6" customFormat="1" x14ac:dyDescent="0.2">
      <c r="A108" s="7" t="s">
        <v>101</v>
      </c>
      <c r="B108" s="9"/>
      <c r="C108" s="9"/>
      <c r="D108" s="9"/>
      <c r="E108" s="9"/>
      <c r="F108" s="9"/>
      <c r="G108" s="9"/>
      <c r="H108" s="9"/>
    </row>
    <row r="109" spans="1:8" s="6" customFormat="1" x14ac:dyDescent="0.2">
      <c r="A109" s="7" t="s">
        <v>102</v>
      </c>
      <c r="B109" s="8">
        <v>-1872000000</v>
      </c>
      <c r="C109" s="8">
        <v>-2121000000</v>
      </c>
      <c r="D109" s="9"/>
      <c r="E109" s="9"/>
      <c r="F109" s="9"/>
      <c r="G109" s="9"/>
      <c r="H109" s="9"/>
    </row>
    <row r="110" spans="1:8" s="6" customFormat="1" x14ac:dyDescent="0.2">
      <c r="A110" s="7" t="s">
        <v>103</v>
      </c>
      <c r="B110" s="8">
        <v>-478000000</v>
      </c>
      <c r="C110" s="8">
        <v>1089000000</v>
      </c>
      <c r="D110" s="9"/>
      <c r="E110" s="9"/>
      <c r="F110" s="9"/>
      <c r="G110" s="9"/>
      <c r="H110" s="9"/>
    </row>
    <row r="111" spans="1:8" s="6" customFormat="1" x14ac:dyDescent="0.2">
      <c r="A111" s="7" t="s">
        <v>104</v>
      </c>
      <c r="B111" s="9"/>
      <c r="C111" s="9"/>
      <c r="D111" s="9"/>
      <c r="E111" s="9"/>
      <c r="F111" s="9"/>
      <c r="G111" s="9"/>
      <c r="H111" s="9"/>
    </row>
    <row r="112" spans="1:8" s="6" customFormat="1" x14ac:dyDescent="0.2">
      <c r="A112" s="7" t="s">
        <v>105</v>
      </c>
      <c r="B112" s="8">
        <v>1623000000</v>
      </c>
      <c r="C112" s="8">
        <v>1584000000</v>
      </c>
      <c r="D112" s="9"/>
      <c r="E112" s="9"/>
      <c r="F112" s="9"/>
      <c r="G112" s="9"/>
      <c r="H112" s="9"/>
    </row>
    <row r="113" spans="1:8" s="6" customFormat="1" x14ac:dyDescent="0.2">
      <c r="A113" s="7" t="s">
        <v>106</v>
      </c>
      <c r="B113" s="8">
        <v>-621000000</v>
      </c>
      <c r="C113" s="8">
        <v>-548000000</v>
      </c>
      <c r="D113" s="9"/>
      <c r="E113" s="9"/>
      <c r="F113" s="9"/>
      <c r="G113" s="9"/>
      <c r="H113" s="9"/>
    </row>
    <row r="114" spans="1:8" s="6" customFormat="1" x14ac:dyDescent="0.2">
      <c r="A114" s="7" t="s">
        <v>107</v>
      </c>
      <c r="B114" s="8">
        <f>FM_CFS_net_income_B+FM_CFS_danda_B-FM_CFS_wc_change_B</f>
        <v>10945000000</v>
      </c>
      <c r="C114" s="8">
        <f>FM_CFS_net_income_C+FM_CFS_danda_C-FM_CFS_wc_change_C</f>
        <v>11655000000</v>
      </c>
      <c r="D114" s="8">
        <f>FM_CFS_net_income_D+FM_CFS_danda_D-FM_CFS_wc_change_D</f>
        <v>0</v>
      </c>
      <c r="E114" s="8">
        <f>FM_CFS_net_income_E+FM_CFS_danda_E-FM_CFS_wc_change_E</f>
        <v>0</v>
      </c>
      <c r="F114" s="8">
        <f>FM_CFS_net_income_F+FM_CFS_danda_F-FM_CFS_wc_change_F</f>
        <v>0</v>
      </c>
      <c r="G114" s="8">
        <f>FM_CFS_net_income_G+FM_CFS_danda_G-FM_CFS_wc_change_G</f>
        <v>0</v>
      </c>
      <c r="H114" s="8">
        <f>FM_CFS_net_income_H+FM_CFS_danda_H-FM_CFS_wc_change_H</f>
        <v>0</v>
      </c>
    </row>
    <row r="115" spans="1:8" s="21" customFormat="1" x14ac:dyDescent="0.2">
      <c r="A115" s="22" t="s">
        <v>108</v>
      </c>
    </row>
    <row r="116" spans="1:8" s="6" customFormat="1" x14ac:dyDescent="0.2">
      <c r="A116" s="7" t="s">
        <v>109</v>
      </c>
      <c r="B116" s="8">
        <v>-736000000</v>
      </c>
      <c r="C116" s="8">
        <v>-658000000</v>
      </c>
      <c r="D116" s="9"/>
      <c r="E116" s="9"/>
      <c r="F116" s="9"/>
      <c r="G116" s="9"/>
      <c r="H116" s="9"/>
    </row>
    <row r="117" spans="1:8" s="6" customFormat="1" x14ac:dyDescent="0.2">
      <c r="A117" s="7" t="s">
        <v>110</v>
      </c>
      <c r="B117" s="8">
        <v>-82000000</v>
      </c>
      <c r="C117" s="8">
        <v>-2734000000</v>
      </c>
      <c r="D117" s="9"/>
      <c r="E117" s="9"/>
      <c r="F117" s="9"/>
      <c r="G117" s="9"/>
      <c r="H117" s="9"/>
    </row>
    <row r="118" spans="1:8" s="6" customFormat="1" x14ac:dyDescent="0.2">
      <c r="A118" s="7" t="s">
        <v>111</v>
      </c>
      <c r="B118" s="8">
        <v>-496000000</v>
      </c>
      <c r="C118" s="8">
        <v>-539000000</v>
      </c>
      <c r="D118" s="9"/>
      <c r="E118" s="9"/>
      <c r="F118" s="9"/>
      <c r="G118" s="9"/>
      <c r="H118" s="9"/>
    </row>
    <row r="119" spans="1:8" s="6" customFormat="1" x14ac:dyDescent="0.2">
      <c r="A119" s="7" t="s">
        <v>112</v>
      </c>
      <c r="B119" s="8">
        <v>108000000</v>
      </c>
      <c r="C119" s="8">
        <v>126000000</v>
      </c>
      <c r="D119" s="9"/>
      <c r="E119" s="9"/>
      <c r="F119" s="9"/>
      <c r="G119" s="9"/>
      <c r="H119" s="9"/>
    </row>
    <row r="120" spans="1:8" s="6" customFormat="1" x14ac:dyDescent="0.2">
      <c r="A120" s="7" t="s">
        <v>113</v>
      </c>
      <c r="B120" s="8">
        <v>-3761000000</v>
      </c>
      <c r="C120" s="8">
        <v>-6879000000</v>
      </c>
      <c r="D120" s="9"/>
      <c r="E120" s="9"/>
      <c r="F120" s="9"/>
      <c r="G120" s="9"/>
      <c r="H120" s="9"/>
    </row>
    <row r="121" spans="1:8" s="6" customFormat="1" x14ac:dyDescent="0.2">
      <c r="A121" s="7" t="s">
        <v>114</v>
      </c>
      <c r="B121" s="8">
        <v>1511000000</v>
      </c>
      <c r="C121" s="8">
        <v>4143000000</v>
      </c>
      <c r="D121" s="9"/>
      <c r="E121" s="9"/>
      <c r="F121" s="9"/>
      <c r="G121" s="9"/>
      <c r="H121" s="9"/>
    </row>
    <row r="122" spans="1:8" s="6" customFormat="1" x14ac:dyDescent="0.2">
      <c r="A122" s="7" t="s">
        <v>115</v>
      </c>
      <c r="B122" s="8">
        <v>2129000000</v>
      </c>
      <c r="C122" s="8">
        <v>3378000000</v>
      </c>
      <c r="D122" s="9"/>
      <c r="E122" s="9"/>
      <c r="F122" s="9"/>
      <c r="G122" s="9"/>
      <c r="H122" s="9"/>
    </row>
    <row r="123" spans="1:8" s="6" customFormat="1" x14ac:dyDescent="0.2">
      <c r="A123" s="7" t="s">
        <v>116</v>
      </c>
      <c r="B123" s="8">
        <f>-FM_CFS_capex_B-FM_CFS_id_1771428255833_lbl4wgibm_B-FM_CFS_id_1771428842567_4na667m9h_B+FM_CFS_id_1771428882420_cgsr9rtt5_B-FM_CFS_id_1771428920458_g06br6rjn_B+FM_CFS_id_1771428946050_afi3mb9kb_B+FM_CFS_id_1771428966555_ovnjkj9s9_B</f>
        <v>8823000000</v>
      </c>
      <c r="C123" s="8">
        <f>-FM_CFS_capex_C-FM_CFS_id_1771428255833_lbl4wgibm_C-FM_CFS_id_1771428842567_4na667m9h_C+FM_CFS_id_1771428882420_cgsr9rtt5_C-FM_CFS_id_1771428920458_g06br6rjn_C+FM_CFS_id_1771428946050_afi3mb9kb_C+FM_CFS_id_1771428966555_ovnjkj9s9_C</f>
        <v>18457000000</v>
      </c>
      <c r="D123" s="8">
        <f>-FM_CFS_capex_D-FM_CFS_id_1771428255833_lbl4wgibm_D-FM_CFS_id_1771428842567_4na667m9h_D+FM_CFS_id_1771428882420_cgsr9rtt5_D-FM_CFS_id_1771428920458_g06br6rjn_D+FM_CFS_id_1771428946050_afi3mb9kb_D+FM_CFS_id_1771428966555_ovnjkj9s9_D</f>
        <v>0</v>
      </c>
      <c r="E123" s="8">
        <f>-FM_CFS_capex_E-FM_CFS_id_1771428255833_lbl4wgibm_E-FM_CFS_id_1771428842567_4na667m9h_E+FM_CFS_id_1771428882420_cgsr9rtt5_E-FM_CFS_id_1771428920458_g06br6rjn_E+FM_CFS_id_1771428946050_afi3mb9kb_E+FM_CFS_id_1771428966555_ovnjkj9s9_E</f>
        <v>0</v>
      </c>
      <c r="F123" s="8">
        <f>-FM_CFS_capex_F-FM_CFS_id_1771428255833_lbl4wgibm_F-FM_CFS_id_1771428842567_4na667m9h_F+FM_CFS_id_1771428882420_cgsr9rtt5_F-FM_CFS_id_1771428920458_g06br6rjn_F+FM_CFS_id_1771428946050_afi3mb9kb_F+FM_CFS_id_1771428966555_ovnjkj9s9_F</f>
        <v>0</v>
      </c>
      <c r="G123" s="8">
        <f>-FM_CFS_capex_G-FM_CFS_id_1771428255833_lbl4wgibm_G-FM_CFS_id_1771428842567_4na667m9h_G+FM_CFS_id_1771428882420_cgsr9rtt5_G-FM_CFS_id_1771428920458_g06br6rjn_G+FM_CFS_id_1771428946050_afi3mb9kb_G+FM_CFS_id_1771428966555_ovnjkj9s9_G</f>
        <v>0</v>
      </c>
      <c r="H123" s="8">
        <f>-FM_CFS_capex_H-FM_CFS_id_1771428255833_lbl4wgibm_H-FM_CFS_id_1771428842567_4na667m9h_H+FM_CFS_id_1771428882420_cgsr9rtt5_H-FM_CFS_id_1771428920458_g06br6rjn_H+FM_CFS_id_1771428946050_afi3mb9kb_H+FM_CFS_id_1771428966555_ovnjkj9s9_H</f>
        <v>0</v>
      </c>
    </row>
    <row r="124" spans="1:8" s="21" customFormat="1" x14ac:dyDescent="0.2">
      <c r="A124" s="22" t="s">
        <v>117</v>
      </c>
    </row>
    <row r="125" spans="1:8" s="6" customFormat="1" x14ac:dyDescent="0.2">
      <c r="A125" s="7" t="s">
        <v>118</v>
      </c>
      <c r="B125" s="8">
        <v>-7620000000</v>
      </c>
      <c r="C125" s="8">
        <v>-7829000000</v>
      </c>
      <c r="D125" s="9"/>
      <c r="E125" s="9"/>
      <c r="F125" s="9"/>
      <c r="G125" s="9"/>
      <c r="H125" s="9"/>
    </row>
    <row r="126" spans="1:8" s="6" customFormat="1" x14ac:dyDescent="0.2">
      <c r="A126" s="7" t="s">
        <v>119</v>
      </c>
      <c r="B126" s="8">
        <v>1954000000</v>
      </c>
      <c r="C126" s="8">
        <v>1540000000</v>
      </c>
      <c r="D126" s="9"/>
      <c r="E126" s="9"/>
      <c r="F126" s="9"/>
      <c r="G126" s="9"/>
      <c r="H126" s="9"/>
    </row>
    <row r="127" spans="1:8" s="6" customFormat="1" x14ac:dyDescent="0.2">
      <c r="A127" s="7" t="s">
        <v>120</v>
      </c>
      <c r="B127" s="8">
        <v>-629000000</v>
      </c>
      <c r="C127" s="8">
        <v>-603000000</v>
      </c>
      <c r="D127" s="9"/>
      <c r="E127" s="9"/>
      <c r="F127" s="9"/>
      <c r="G127" s="9"/>
      <c r="H127" s="9"/>
    </row>
    <row r="128" spans="1:8" s="6" customFormat="1" x14ac:dyDescent="0.2">
      <c r="A128" s="7" t="s">
        <v>121</v>
      </c>
      <c r="B128" s="8">
        <v>-1182000000</v>
      </c>
      <c r="C128" s="8">
        <v>-1000000000</v>
      </c>
      <c r="D128" s="9"/>
      <c r="E128" s="9"/>
      <c r="F128" s="9"/>
      <c r="G128" s="9"/>
      <c r="H128" s="9"/>
    </row>
    <row r="129" spans="1:8" s="6" customFormat="1" x14ac:dyDescent="0.2">
      <c r="A129" s="7" t="s">
        <v>122</v>
      </c>
      <c r="B129" s="8">
        <v>0</v>
      </c>
      <c r="C129" s="8">
        <v>-1537000000</v>
      </c>
      <c r="D129" s="9"/>
      <c r="E129" s="9"/>
      <c r="F129" s="9"/>
      <c r="G129" s="9"/>
      <c r="H129" s="9"/>
    </row>
    <row r="130" spans="1:8" s="6" customFormat="1" x14ac:dyDescent="0.2">
      <c r="A130" s="7" t="s">
        <v>123</v>
      </c>
      <c r="B130" s="8">
        <f>-FM_CFS_id_1771430988199_pjs7gqnl7_B+FM_CFS_id_1771431004679_cz46ze7y6_B-FM_CFS_id_1771431012979_rm61128jv_B-FM_CFS_id_1771431036181_zvzg0efid_B-FM_CFS_id_1771431039872_9ks8dgrmo_B</f>
        <v>11385000000</v>
      </c>
      <c r="C130" s="8">
        <f>-FM_CFS_id_1771430988199_pjs7gqnl7_C+FM_CFS_id_1771431004679_cz46ze7y6_C-FM_CFS_id_1771431012979_rm61128jv_C-FM_CFS_id_1771431036181_zvzg0efid_C-FM_CFS_id_1771431039872_9ks8dgrmo_C</f>
        <v>12509000000</v>
      </c>
      <c r="D130" s="8">
        <f>-FM_CFS_id_1771430988199_pjs7gqnl7_D+FM_CFS_id_1771431004679_cz46ze7y6_D-FM_CFS_id_1771431012979_rm61128jv_D-FM_CFS_id_1771431036181_zvzg0efid_D-FM_CFS_id_1771431039872_9ks8dgrmo_D</f>
        <v>0</v>
      </c>
      <c r="E130" s="8">
        <f>-FM_CFS_id_1771430988199_pjs7gqnl7_E+FM_CFS_id_1771431004679_cz46ze7y6_E-FM_CFS_id_1771431012979_rm61128jv_E-FM_CFS_id_1771431036181_zvzg0efid_E-FM_CFS_id_1771431039872_9ks8dgrmo_E</f>
        <v>0</v>
      </c>
      <c r="F130" s="8">
        <f>-FM_CFS_id_1771430988199_pjs7gqnl7_F+FM_CFS_id_1771431004679_cz46ze7y6_F-FM_CFS_id_1771431012979_rm61128jv_F-FM_CFS_id_1771431036181_zvzg0efid_F-FM_CFS_id_1771431039872_9ks8dgrmo_F</f>
        <v>0</v>
      </c>
      <c r="G130" s="8">
        <f>-FM_CFS_id_1771430988199_pjs7gqnl7_G+FM_CFS_id_1771431004679_cz46ze7y6_G-FM_CFS_id_1771431012979_rm61128jv_G-FM_CFS_id_1771431036181_zvzg0efid_G-FM_CFS_id_1771431039872_9ks8dgrmo_G</f>
        <v>0</v>
      </c>
      <c r="H130" s="8">
        <f>-FM_CFS_id_1771430988199_pjs7gqnl7_H+FM_CFS_id_1771431004679_cz46ze7y6_H-FM_CFS_id_1771431012979_rm61128jv_H-FM_CFS_id_1771431036181_zvzg0efid_H-FM_CFS_id_1771431039872_9ks8dgrmo_H</f>
        <v>0</v>
      </c>
    </row>
    <row r="131" spans="1:8" s="6" customFormat="1" x14ac:dyDescent="0.2">
      <c r="A131" s="7" t="s">
        <v>124</v>
      </c>
      <c r="B131" s="8">
        <f>FM_CFS_operating_cf_B+FM_CFS_investing_cf_B+FM_CFS_financing_cf_B</f>
        <v>31153000000</v>
      </c>
      <c r="C131" s="8">
        <f>FM_CFS_operating_cf_C+FM_CFS_investing_cf_C+FM_CFS_financing_cf_C</f>
        <v>42621000000</v>
      </c>
      <c r="D131" s="8">
        <f>FM_CFS_operating_cf_D+FM_CFS_investing_cf_D+FM_CFS_financing_cf_D</f>
        <v>0</v>
      </c>
      <c r="E131" s="8">
        <f>FM_CFS_operating_cf_E+FM_CFS_investing_cf_E+FM_CFS_financing_cf_E</f>
        <v>0</v>
      </c>
      <c r="F131" s="8">
        <f>FM_CFS_operating_cf_F+FM_CFS_investing_cf_F+FM_CFS_financing_cf_F</f>
        <v>0</v>
      </c>
      <c r="G131" s="8">
        <f>FM_CFS_operating_cf_G+FM_CFS_investing_cf_G+FM_CFS_financing_cf_G</f>
        <v>0</v>
      </c>
      <c r="H131" s="8">
        <f>FM_CFS_operating_cf_H+FM_CFS_investing_cf_H+FM_CFS_financing_cf_H</f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630</vt:i4>
      </vt:variant>
    </vt:vector>
  </HeadingPairs>
  <TitlesOfParts>
    <vt:vector size="631" baseType="lpstr">
      <vt:lpstr>Financial Model</vt:lpstr>
      <vt:lpstr>FM_BS_aoci_B</vt:lpstr>
      <vt:lpstr>FM_BS_aoci_C</vt:lpstr>
      <vt:lpstr>FM_BS_aoci_D</vt:lpstr>
      <vt:lpstr>FM_BS_aoci_E</vt:lpstr>
      <vt:lpstr>FM_BS_aoci_F</vt:lpstr>
      <vt:lpstr>FM_BS_aoci_G</vt:lpstr>
      <vt:lpstr>FM_BS_aoci_H</vt:lpstr>
      <vt:lpstr>FM_BS_ap_B</vt:lpstr>
      <vt:lpstr>FM_BS_ap_C</vt:lpstr>
      <vt:lpstr>FM_BS_ap_D</vt:lpstr>
      <vt:lpstr>FM_BS_ap_E</vt:lpstr>
      <vt:lpstr>FM_BS_ap_F</vt:lpstr>
      <vt:lpstr>FM_BS_ap_G</vt:lpstr>
      <vt:lpstr>FM_BS_ap_H</vt:lpstr>
      <vt:lpstr>FM_BS_apic_B</vt:lpstr>
      <vt:lpstr>FM_BS_apic_C</vt:lpstr>
      <vt:lpstr>FM_BS_apic_D</vt:lpstr>
      <vt:lpstr>FM_BS_apic_E</vt:lpstr>
      <vt:lpstr>FM_BS_apic_F</vt:lpstr>
      <vt:lpstr>FM_BS_apic_G</vt:lpstr>
      <vt:lpstr>FM_BS_apic_H</vt:lpstr>
      <vt:lpstr>FM_BS_ar_B</vt:lpstr>
      <vt:lpstr>FM_BS_ar_C</vt:lpstr>
      <vt:lpstr>FM_BS_ar_D</vt:lpstr>
      <vt:lpstr>FM_BS_ar_E</vt:lpstr>
      <vt:lpstr>FM_BS_ar_F</vt:lpstr>
      <vt:lpstr>FM_BS_ar_G</vt:lpstr>
      <vt:lpstr>FM_BS_ar_H</vt:lpstr>
      <vt:lpstr>FM_BS_bs_id_1769822046403_u0zjs4plt_B</vt:lpstr>
      <vt:lpstr>FM_BS_bs_id_1769822046403_u0zjs4plt_C</vt:lpstr>
      <vt:lpstr>FM_BS_bs_id_1769822046403_u0zjs4plt_D</vt:lpstr>
      <vt:lpstr>FM_BS_bs_id_1769822046403_u0zjs4plt_E</vt:lpstr>
      <vt:lpstr>FM_BS_bs_id_1769822046403_u0zjs4plt_F</vt:lpstr>
      <vt:lpstr>FM_BS_bs_id_1769822046403_u0zjs4plt_G</vt:lpstr>
      <vt:lpstr>FM_BS_bs_id_1769822046403_u0zjs4plt_H</vt:lpstr>
      <vt:lpstr>FM_BS_bs_id_1770048320987_gzfnx4zx9_B</vt:lpstr>
      <vt:lpstr>FM_BS_bs_id_1770048320987_gzfnx4zx9_C</vt:lpstr>
      <vt:lpstr>FM_BS_bs_id_1770048320987_gzfnx4zx9_D</vt:lpstr>
      <vt:lpstr>FM_BS_bs_id_1770048320987_gzfnx4zx9_E</vt:lpstr>
      <vt:lpstr>FM_BS_bs_id_1770048320987_gzfnx4zx9_F</vt:lpstr>
      <vt:lpstr>FM_BS_bs_id_1770048320987_gzfnx4zx9_G</vt:lpstr>
      <vt:lpstr>FM_BS_bs_id_1770048320987_gzfnx4zx9_H</vt:lpstr>
      <vt:lpstr>FM_BS_bs_id_1770048459385_xd7n0csvm_B</vt:lpstr>
      <vt:lpstr>FM_BS_bs_id_1770048459385_xd7n0csvm_C</vt:lpstr>
      <vt:lpstr>FM_BS_bs_id_1770048459385_xd7n0csvm_D</vt:lpstr>
      <vt:lpstr>FM_BS_bs_id_1770048459385_xd7n0csvm_E</vt:lpstr>
      <vt:lpstr>FM_BS_bs_id_1770048459385_xd7n0csvm_F</vt:lpstr>
      <vt:lpstr>FM_BS_bs_id_1770048459385_xd7n0csvm_G</vt:lpstr>
      <vt:lpstr>FM_BS_bs_id_1770048459385_xd7n0csvm_H</vt:lpstr>
      <vt:lpstr>FM_BS_bs_id_1770049941670_jrt887v4i_B</vt:lpstr>
      <vt:lpstr>FM_BS_bs_id_1770049941670_jrt887v4i_C</vt:lpstr>
      <vt:lpstr>FM_BS_bs_id_1770049941670_jrt887v4i_D</vt:lpstr>
      <vt:lpstr>FM_BS_bs_id_1770049941670_jrt887v4i_E</vt:lpstr>
      <vt:lpstr>FM_BS_bs_id_1770049941670_jrt887v4i_F</vt:lpstr>
      <vt:lpstr>FM_BS_bs_id_1770049941670_jrt887v4i_G</vt:lpstr>
      <vt:lpstr>FM_BS_bs_id_1770049941670_jrt887v4i_H</vt:lpstr>
      <vt:lpstr>FM_BS_bs_id_1770056612597_tdw4jdt8l_B</vt:lpstr>
      <vt:lpstr>FM_BS_bs_id_1770056612597_tdw4jdt8l_C</vt:lpstr>
      <vt:lpstr>FM_BS_bs_id_1770056612597_tdw4jdt8l_D</vt:lpstr>
      <vt:lpstr>FM_BS_bs_id_1770056612597_tdw4jdt8l_E</vt:lpstr>
      <vt:lpstr>FM_BS_bs_id_1770056612597_tdw4jdt8l_F</vt:lpstr>
      <vt:lpstr>FM_BS_bs_id_1770056612597_tdw4jdt8l_G</vt:lpstr>
      <vt:lpstr>FM_BS_bs_id_1770056612597_tdw4jdt8l_H</vt:lpstr>
      <vt:lpstr>FM_BS_bs_id_1770056676438_w7yyh3xmw_B</vt:lpstr>
      <vt:lpstr>FM_BS_bs_id_1770056676438_w7yyh3xmw_C</vt:lpstr>
      <vt:lpstr>FM_BS_bs_id_1770056676438_w7yyh3xmw_D</vt:lpstr>
      <vt:lpstr>FM_BS_bs_id_1770056676438_w7yyh3xmw_E</vt:lpstr>
      <vt:lpstr>FM_BS_bs_id_1770056676438_w7yyh3xmw_F</vt:lpstr>
      <vt:lpstr>FM_BS_bs_id_1770056676438_w7yyh3xmw_G</vt:lpstr>
      <vt:lpstr>FM_BS_bs_id_1770056676438_w7yyh3xmw_H</vt:lpstr>
      <vt:lpstr>FM_BS_bs_id_1770056774071_hdym4nxsx_B</vt:lpstr>
      <vt:lpstr>FM_BS_bs_id_1770056774071_hdym4nxsx_C</vt:lpstr>
      <vt:lpstr>FM_BS_bs_id_1770056774071_hdym4nxsx_D</vt:lpstr>
      <vt:lpstr>FM_BS_bs_id_1770056774071_hdym4nxsx_E</vt:lpstr>
      <vt:lpstr>FM_BS_bs_id_1770056774071_hdym4nxsx_F</vt:lpstr>
      <vt:lpstr>FM_BS_bs_id_1770056774071_hdym4nxsx_G</vt:lpstr>
      <vt:lpstr>FM_BS_bs_id_1770056774071_hdym4nxsx_H</vt:lpstr>
      <vt:lpstr>FM_BS_bs_id_1770056988059_zdf3iomrx_B</vt:lpstr>
      <vt:lpstr>FM_BS_bs_id_1770056988059_zdf3iomrx_C</vt:lpstr>
      <vt:lpstr>FM_BS_bs_id_1770056988059_zdf3iomrx_D</vt:lpstr>
      <vt:lpstr>FM_BS_bs_id_1770056988059_zdf3iomrx_E</vt:lpstr>
      <vt:lpstr>FM_BS_bs_id_1770056988059_zdf3iomrx_F</vt:lpstr>
      <vt:lpstr>FM_BS_bs_id_1770056988059_zdf3iomrx_G</vt:lpstr>
      <vt:lpstr>FM_BS_bs_id_1770056988059_zdf3iomrx_H</vt:lpstr>
      <vt:lpstr>FM_BS_cash_B</vt:lpstr>
      <vt:lpstr>FM_BS_cash_C</vt:lpstr>
      <vt:lpstr>FM_BS_cash_D</vt:lpstr>
      <vt:lpstr>FM_BS_cash_E</vt:lpstr>
      <vt:lpstr>FM_BS_cash_F</vt:lpstr>
      <vt:lpstr>FM_BS_cash_G</vt:lpstr>
      <vt:lpstr>FM_BS_cash_H</vt:lpstr>
      <vt:lpstr>FM_BS_common_stock_B</vt:lpstr>
      <vt:lpstr>FM_BS_common_stock_C</vt:lpstr>
      <vt:lpstr>FM_BS_common_stock_D</vt:lpstr>
      <vt:lpstr>FM_BS_common_stock_E</vt:lpstr>
      <vt:lpstr>FM_BS_common_stock_F</vt:lpstr>
      <vt:lpstr>FM_BS_common_stock_G</vt:lpstr>
      <vt:lpstr>FM_BS_common_stock_H</vt:lpstr>
      <vt:lpstr>FM_BS_goodwill_B</vt:lpstr>
      <vt:lpstr>FM_BS_goodwill_C</vt:lpstr>
      <vt:lpstr>FM_BS_goodwill_D</vt:lpstr>
      <vt:lpstr>FM_BS_goodwill_E</vt:lpstr>
      <vt:lpstr>FM_BS_goodwill_F</vt:lpstr>
      <vt:lpstr>FM_BS_goodwill_G</vt:lpstr>
      <vt:lpstr>FM_BS_goodwill_H</vt:lpstr>
      <vt:lpstr>FM_BS_intangible_assets_B</vt:lpstr>
      <vt:lpstr>FM_BS_intangible_assets_C</vt:lpstr>
      <vt:lpstr>FM_BS_intangible_assets_D</vt:lpstr>
      <vt:lpstr>FM_BS_intangible_assets_E</vt:lpstr>
      <vt:lpstr>FM_BS_intangible_assets_F</vt:lpstr>
      <vt:lpstr>FM_BS_intangible_assets_G</vt:lpstr>
      <vt:lpstr>FM_BS_intangible_assets_H</vt:lpstr>
      <vt:lpstr>FM_BS_inventory_B</vt:lpstr>
      <vt:lpstr>FM_BS_inventory_C</vt:lpstr>
      <vt:lpstr>FM_BS_inventory_D</vt:lpstr>
      <vt:lpstr>FM_BS_inventory_E</vt:lpstr>
      <vt:lpstr>FM_BS_inventory_F</vt:lpstr>
      <vt:lpstr>FM_BS_inventory_G</vt:lpstr>
      <vt:lpstr>FM_BS_inventory_H</vt:lpstr>
      <vt:lpstr>FM_BS_lt_debt_B</vt:lpstr>
      <vt:lpstr>FM_BS_lt_debt_C</vt:lpstr>
      <vt:lpstr>FM_BS_lt_debt_D</vt:lpstr>
      <vt:lpstr>FM_BS_lt_debt_E</vt:lpstr>
      <vt:lpstr>FM_BS_lt_debt_F</vt:lpstr>
      <vt:lpstr>FM_BS_lt_debt_G</vt:lpstr>
      <vt:lpstr>FM_BS_lt_debt_H</vt:lpstr>
      <vt:lpstr>FM_BS_other_assets_B</vt:lpstr>
      <vt:lpstr>FM_BS_other_assets_C</vt:lpstr>
      <vt:lpstr>FM_BS_other_assets_D</vt:lpstr>
      <vt:lpstr>FM_BS_other_assets_E</vt:lpstr>
      <vt:lpstr>FM_BS_other_assets_F</vt:lpstr>
      <vt:lpstr>FM_BS_other_assets_G</vt:lpstr>
      <vt:lpstr>FM_BS_other_assets_H</vt:lpstr>
      <vt:lpstr>FM_BS_other_ca_B</vt:lpstr>
      <vt:lpstr>FM_BS_other_ca_C</vt:lpstr>
      <vt:lpstr>FM_BS_other_ca_D</vt:lpstr>
      <vt:lpstr>FM_BS_other_ca_E</vt:lpstr>
      <vt:lpstr>FM_BS_other_ca_F</vt:lpstr>
      <vt:lpstr>FM_BS_other_ca_G</vt:lpstr>
      <vt:lpstr>FM_BS_other_ca_H</vt:lpstr>
      <vt:lpstr>FM_BS_other_cl_B</vt:lpstr>
      <vt:lpstr>FM_BS_other_cl_C</vt:lpstr>
      <vt:lpstr>FM_BS_other_cl_D</vt:lpstr>
      <vt:lpstr>FM_BS_other_cl_E</vt:lpstr>
      <vt:lpstr>FM_BS_other_cl_F</vt:lpstr>
      <vt:lpstr>FM_BS_other_cl_G</vt:lpstr>
      <vt:lpstr>FM_BS_other_cl_H</vt:lpstr>
      <vt:lpstr>FM_BS_other_liab_B</vt:lpstr>
      <vt:lpstr>FM_BS_other_liab_C</vt:lpstr>
      <vt:lpstr>FM_BS_other_liab_D</vt:lpstr>
      <vt:lpstr>FM_BS_other_liab_E</vt:lpstr>
      <vt:lpstr>FM_BS_other_liab_F</vt:lpstr>
      <vt:lpstr>FM_BS_other_liab_G</vt:lpstr>
      <vt:lpstr>FM_BS_other_liab_H</vt:lpstr>
      <vt:lpstr>FM_BS_ppe_B</vt:lpstr>
      <vt:lpstr>FM_BS_ppe_C</vt:lpstr>
      <vt:lpstr>FM_BS_ppe_D</vt:lpstr>
      <vt:lpstr>FM_BS_ppe_E</vt:lpstr>
      <vt:lpstr>FM_BS_ppe_F</vt:lpstr>
      <vt:lpstr>FM_BS_ppe_G</vt:lpstr>
      <vt:lpstr>FM_BS_ppe_H</vt:lpstr>
      <vt:lpstr>FM_BS_preferred_stock_B</vt:lpstr>
      <vt:lpstr>FM_BS_preferred_stock_C</vt:lpstr>
      <vt:lpstr>FM_BS_preferred_stock_D</vt:lpstr>
      <vt:lpstr>FM_BS_preferred_stock_E</vt:lpstr>
      <vt:lpstr>FM_BS_preferred_stock_F</vt:lpstr>
      <vt:lpstr>FM_BS_preferred_stock_G</vt:lpstr>
      <vt:lpstr>FM_BS_preferred_stock_H</vt:lpstr>
      <vt:lpstr>FM_BS_retained_earnings_B</vt:lpstr>
      <vt:lpstr>FM_BS_retained_earnings_C</vt:lpstr>
      <vt:lpstr>FM_BS_retained_earnings_D</vt:lpstr>
      <vt:lpstr>FM_BS_retained_earnings_E</vt:lpstr>
      <vt:lpstr>FM_BS_retained_earnings_F</vt:lpstr>
      <vt:lpstr>FM_BS_retained_earnings_G</vt:lpstr>
      <vt:lpstr>FM_BS_retained_earnings_H</vt:lpstr>
      <vt:lpstr>FM_BS_st_debt_B</vt:lpstr>
      <vt:lpstr>FM_BS_st_debt_C</vt:lpstr>
      <vt:lpstr>FM_BS_st_debt_D</vt:lpstr>
      <vt:lpstr>FM_BS_st_debt_E</vt:lpstr>
      <vt:lpstr>FM_BS_st_debt_F</vt:lpstr>
      <vt:lpstr>FM_BS_st_debt_G</vt:lpstr>
      <vt:lpstr>FM_BS_st_debt_H</vt:lpstr>
      <vt:lpstr>FM_BS_total_assets_B</vt:lpstr>
      <vt:lpstr>FM_BS_total_assets_C</vt:lpstr>
      <vt:lpstr>FM_BS_total_assets_D</vt:lpstr>
      <vt:lpstr>FM_BS_total_assets_E</vt:lpstr>
      <vt:lpstr>FM_BS_total_assets_F</vt:lpstr>
      <vt:lpstr>FM_BS_total_assets_G</vt:lpstr>
      <vt:lpstr>FM_BS_total_assets_H</vt:lpstr>
      <vt:lpstr>FM_BS_total_current_assets_B</vt:lpstr>
      <vt:lpstr>FM_BS_total_current_assets_C</vt:lpstr>
      <vt:lpstr>FM_BS_total_current_assets_D</vt:lpstr>
      <vt:lpstr>FM_BS_total_current_assets_E</vt:lpstr>
      <vt:lpstr>FM_BS_total_current_assets_F</vt:lpstr>
      <vt:lpstr>FM_BS_total_current_assets_G</vt:lpstr>
      <vt:lpstr>FM_BS_total_current_assets_H</vt:lpstr>
      <vt:lpstr>FM_BS_total_current_liabilities_B</vt:lpstr>
      <vt:lpstr>FM_BS_total_current_liabilities_C</vt:lpstr>
      <vt:lpstr>FM_BS_total_current_liabilities_D</vt:lpstr>
      <vt:lpstr>FM_BS_total_current_liabilities_E</vt:lpstr>
      <vt:lpstr>FM_BS_total_current_liabilities_F</vt:lpstr>
      <vt:lpstr>FM_BS_total_current_liabilities_G</vt:lpstr>
      <vt:lpstr>FM_BS_total_current_liabilities_H</vt:lpstr>
      <vt:lpstr>FM_BS_total_equity_B</vt:lpstr>
      <vt:lpstr>FM_BS_total_equity_C</vt:lpstr>
      <vt:lpstr>FM_BS_total_equity_D</vt:lpstr>
      <vt:lpstr>FM_BS_total_equity_E</vt:lpstr>
      <vt:lpstr>FM_BS_total_equity_F</vt:lpstr>
      <vt:lpstr>FM_BS_total_equity_G</vt:lpstr>
      <vt:lpstr>FM_BS_total_equity_H</vt:lpstr>
      <vt:lpstr>FM_BS_total_fixed_assets_B</vt:lpstr>
      <vt:lpstr>FM_BS_total_fixed_assets_C</vt:lpstr>
      <vt:lpstr>FM_BS_total_fixed_assets_D</vt:lpstr>
      <vt:lpstr>FM_BS_total_fixed_assets_E</vt:lpstr>
      <vt:lpstr>FM_BS_total_fixed_assets_F</vt:lpstr>
      <vt:lpstr>FM_BS_total_fixed_assets_G</vt:lpstr>
      <vt:lpstr>FM_BS_total_fixed_assets_H</vt:lpstr>
      <vt:lpstr>FM_BS_total_liab_and_equity_B</vt:lpstr>
      <vt:lpstr>FM_BS_total_liab_and_equity_C</vt:lpstr>
      <vt:lpstr>FM_BS_total_liab_and_equity_D</vt:lpstr>
      <vt:lpstr>FM_BS_total_liab_and_equity_E</vt:lpstr>
      <vt:lpstr>FM_BS_total_liab_and_equity_F</vt:lpstr>
      <vt:lpstr>FM_BS_total_liab_and_equity_G</vt:lpstr>
      <vt:lpstr>FM_BS_total_liab_and_equity_H</vt:lpstr>
      <vt:lpstr>FM_BS_total_liabilities_B</vt:lpstr>
      <vt:lpstr>FM_BS_total_liabilities_C</vt:lpstr>
      <vt:lpstr>FM_BS_total_liabilities_D</vt:lpstr>
      <vt:lpstr>FM_BS_total_liabilities_E</vt:lpstr>
      <vt:lpstr>FM_BS_total_liabilities_F</vt:lpstr>
      <vt:lpstr>FM_BS_total_liabilities_G</vt:lpstr>
      <vt:lpstr>FM_BS_total_liabilities_H</vt:lpstr>
      <vt:lpstr>FM_BS_total_non_current_liabilities_B</vt:lpstr>
      <vt:lpstr>FM_BS_total_non_current_liabilities_C</vt:lpstr>
      <vt:lpstr>FM_BS_total_non_current_liabilities_D</vt:lpstr>
      <vt:lpstr>FM_BS_total_non_current_liabilities_E</vt:lpstr>
      <vt:lpstr>FM_BS_total_non_current_liabilities_F</vt:lpstr>
      <vt:lpstr>FM_BS_total_non_current_liabilities_G</vt:lpstr>
      <vt:lpstr>FM_BS_total_non_current_liabilities_H</vt:lpstr>
      <vt:lpstr>FM_BS_treasury_stock_B</vt:lpstr>
      <vt:lpstr>FM_BS_treasury_stock_C</vt:lpstr>
      <vt:lpstr>FM_BS_treasury_stock_D</vt:lpstr>
      <vt:lpstr>FM_BS_treasury_stock_E</vt:lpstr>
      <vt:lpstr>FM_BS_treasury_stock_F</vt:lpstr>
      <vt:lpstr>FM_BS_treasury_stock_G</vt:lpstr>
      <vt:lpstr>FM_BS_treasury_stock_H</vt:lpstr>
      <vt:lpstr>FM_CFS_ap_B</vt:lpstr>
      <vt:lpstr>FM_CFS_ap_C</vt:lpstr>
      <vt:lpstr>FM_CFS_ap_D</vt:lpstr>
      <vt:lpstr>FM_CFS_ap_E</vt:lpstr>
      <vt:lpstr>FM_CFS_ap_F</vt:lpstr>
      <vt:lpstr>FM_CFS_ap_G</vt:lpstr>
      <vt:lpstr>FM_CFS_ap_H</vt:lpstr>
      <vt:lpstr>FM_CFS_ar_B</vt:lpstr>
      <vt:lpstr>FM_CFS_ar_C</vt:lpstr>
      <vt:lpstr>FM_CFS_ar_D</vt:lpstr>
      <vt:lpstr>FM_CFS_ar_E</vt:lpstr>
      <vt:lpstr>FM_CFS_ar_F</vt:lpstr>
      <vt:lpstr>FM_CFS_ar_G</vt:lpstr>
      <vt:lpstr>FM_CFS_ar_H</vt:lpstr>
      <vt:lpstr>FM_CFS_bs_id_1770048320987_gzfnx4zx9_B</vt:lpstr>
      <vt:lpstr>FM_CFS_bs_id_1770048320987_gzfnx4zx9_C</vt:lpstr>
      <vt:lpstr>FM_CFS_bs_id_1770048320987_gzfnx4zx9_D</vt:lpstr>
      <vt:lpstr>FM_CFS_bs_id_1770048320987_gzfnx4zx9_E</vt:lpstr>
      <vt:lpstr>FM_CFS_bs_id_1770048320987_gzfnx4zx9_F</vt:lpstr>
      <vt:lpstr>FM_CFS_bs_id_1770048320987_gzfnx4zx9_G</vt:lpstr>
      <vt:lpstr>FM_CFS_bs_id_1770048320987_gzfnx4zx9_H</vt:lpstr>
      <vt:lpstr>FM_CFS_bs_id_1770048459385_xd7n0csvm_B</vt:lpstr>
      <vt:lpstr>FM_CFS_bs_id_1770048459385_xd7n0csvm_C</vt:lpstr>
      <vt:lpstr>FM_CFS_bs_id_1770048459385_xd7n0csvm_D</vt:lpstr>
      <vt:lpstr>FM_CFS_bs_id_1770048459385_xd7n0csvm_E</vt:lpstr>
      <vt:lpstr>FM_CFS_bs_id_1770048459385_xd7n0csvm_F</vt:lpstr>
      <vt:lpstr>FM_CFS_bs_id_1770048459385_xd7n0csvm_G</vt:lpstr>
      <vt:lpstr>FM_CFS_bs_id_1770048459385_xd7n0csvm_H</vt:lpstr>
      <vt:lpstr>FM_CFS_bs_id_1770049941670_jrt887v4i_B</vt:lpstr>
      <vt:lpstr>FM_CFS_bs_id_1770049941670_jrt887v4i_C</vt:lpstr>
      <vt:lpstr>FM_CFS_bs_id_1770049941670_jrt887v4i_D</vt:lpstr>
      <vt:lpstr>FM_CFS_bs_id_1770049941670_jrt887v4i_E</vt:lpstr>
      <vt:lpstr>FM_CFS_bs_id_1770049941670_jrt887v4i_F</vt:lpstr>
      <vt:lpstr>FM_CFS_bs_id_1770049941670_jrt887v4i_G</vt:lpstr>
      <vt:lpstr>FM_CFS_bs_id_1770049941670_jrt887v4i_H</vt:lpstr>
      <vt:lpstr>FM_CFS_bs_id_1770056988059_zdf3iomrx_B</vt:lpstr>
      <vt:lpstr>FM_CFS_bs_id_1770056988059_zdf3iomrx_C</vt:lpstr>
      <vt:lpstr>FM_CFS_bs_id_1770056988059_zdf3iomrx_D</vt:lpstr>
      <vt:lpstr>FM_CFS_bs_id_1770056988059_zdf3iomrx_E</vt:lpstr>
      <vt:lpstr>FM_CFS_bs_id_1770056988059_zdf3iomrx_F</vt:lpstr>
      <vt:lpstr>FM_CFS_bs_id_1770056988059_zdf3iomrx_G</vt:lpstr>
      <vt:lpstr>FM_CFS_bs_id_1770056988059_zdf3iomrx_H</vt:lpstr>
      <vt:lpstr>FM_CFS_capex_B</vt:lpstr>
      <vt:lpstr>FM_CFS_capex_C</vt:lpstr>
      <vt:lpstr>FM_CFS_capex_D</vt:lpstr>
      <vt:lpstr>FM_CFS_capex_E</vt:lpstr>
      <vt:lpstr>FM_CFS_capex_F</vt:lpstr>
      <vt:lpstr>FM_CFS_capex_G</vt:lpstr>
      <vt:lpstr>FM_CFS_capex_H</vt:lpstr>
      <vt:lpstr>FM_CFS_danda_B</vt:lpstr>
      <vt:lpstr>FM_CFS_danda_C</vt:lpstr>
      <vt:lpstr>FM_CFS_danda_D</vt:lpstr>
      <vt:lpstr>FM_CFS_danda_E</vt:lpstr>
      <vt:lpstr>FM_CFS_danda_F</vt:lpstr>
      <vt:lpstr>FM_CFS_danda_G</vt:lpstr>
      <vt:lpstr>FM_CFS_danda_H</vt:lpstr>
      <vt:lpstr>FM_CFS_financing_cf_B</vt:lpstr>
      <vt:lpstr>FM_CFS_financing_cf_C</vt:lpstr>
      <vt:lpstr>FM_CFS_financing_cf_D</vt:lpstr>
      <vt:lpstr>FM_CFS_financing_cf_E</vt:lpstr>
      <vt:lpstr>FM_CFS_financing_cf_F</vt:lpstr>
      <vt:lpstr>FM_CFS_financing_cf_G</vt:lpstr>
      <vt:lpstr>FM_CFS_financing_cf_H</vt:lpstr>
      <vt:lpstr>FM_CFS_id_1771352763120_oo8qt2qsd_B</vt:lpstr>
      <vt:lpstr>FM_CFS_id_1771352763120_oo8qt2qsd_C</vt:lpstr>
      <vt:lpstr>FM_CFS_id_1771352763120_oo8qt2qsd_D</vt:lpstr>
      <vt:lpstr>FM_CFS_id_1771352763120_oo8qt2qsd_E</vt:lpstr>
      <vt:lpstr>FM_CFS_id_1771352763120_oo8qt2qsd_F</vt:lpstr>
      <vt:lpstr>FM_CFS_id_1771352763120_oo8qt2qsd_G</vt:lpstr>
      <vt:lpstr>FM_CFS_id_1771352763120_oo8qt2qsd_H</vt:lpstr>
      <vt:lpstr>FM_CFS_id_1771352930655_smkspqtp8_B</vt:lpstr>
      <vt:lpstr>FM_CFS_id_1771352930655_smkspqtp8_C</vt:lpstr>
      <vt:lpstr>FM_CFS_id_1771352930655_smkspqtp8_D</vt:lpstr>
      <vt:lpstr>FM_CFS_id_1771352930655_smkspqtp8_E</vt:lpstr>
      <vt:lpstr>FM_CFS_id_1771352930655_smkspqtp8_F</vt:lpstr>
      <vt:lpstr>FM_CFS_id_1771352930655_smkspqtp8_G</vt:lpstr>
      <vt:lpstr>FM_CFS_id_1771352930655_smkspqtp8_H</vt:lpstr>
      <vt:lpstr>FM_CFS_id_1771428255833_lbl4wgibm_B</vt:lpstr>
      <vt:lpstr>FM_CFS_id_1771428255833_lbl4wgibm_C</vt:lpstr>
      <vt:lpstr>FM_CFS_id_1771428255833_lbl4wgibm_D</vt:lpstr>
      <vt:lpstr>FM_CFS_id_1771428255833_lbl4wgibm_E</vt:lpstr>
      <vt:lpstr>FM_CFS_id_1771428255833_lbl4wgibm_F</vt:lpstr>
      <vt:lpstr>FM_CFS_id_1771428255833_lbl4wgibm_G</vt:lpstr>
      <vt:lpstr>FM_CFS_id_1771428255833_lbl4wgibm_H</vt:lpstr>
      <vt:lpstr>FM_CFS_id_1771428842567_4na667m9h_B</vt:lpstr>
      <vt:lpstr>FM_CFS_id_1771428842567_4na667m9h_C</vt:lpstr>
      <vt:lpstr>FM_CFS_id_1771428842567_4na667m9h_D</vt:lpstr>
      <vt:lpstr>FM_CFS_id_1771428842567_4na667m9h_E</vt:lpstr>
      <vt:lpstr>FM_CFS_id_1771428842567_4na667m9h_F</vt:lpstr>
      <vt:lpstr>FM_CFS_id_1771428842567_4na667m9h_G</vt:lpstr>
      <vt:lpstr>FM_CFS_id_1771428842567_4na667m9h_H</vt:lpstr>
      <vt:lpstr>FM_CFS_id_1771428882420_cgsr9rtt5_B</vt:lpstr>
      <vt:lpstr>FM_CFS_id_1771428882420_cgsr9rtt5_C</vt:lpstr>
      <vt:lpstr>FM_CFS_id_1771428882420_cgsr9rtt5_D</vt:lpstr>
      <vt:lpstr>FM_CFS_id_1771428882420_cgsr9rtt5_E</vt:lpstr>
      <vt:lpstr>FM_CFS_id_1771428882420_cgsr9rtt5_F</vt:lpstr>
      <vt:lpstr>FM_CFS_id_1771428882420_cgsr9rtt5_G</vt:lpstr>
      <vt:lpstr>FM_CFS_id_1771428882420_cgsr9rtt5_H</vt:lpstr>
      <vt:lpstr>FM_CFS_id_1771428920458_g06br6rjn_B</vt:lpstr>
      <vt:lpstr>FM_CFS_id_1771428920458_g06br6rjn_C</vt:lpstr>
      <vt:lpstr>FM_CFS_id_1771428920458_g06br6rjn_D</vt:lpstr>
      <vt:lpstr>FM_CFS_id_1771428920458_g06br6rjn_E</vt:lpstr>
      <vt:lpstr>FM_CFS_id_1771428920458_g06br6rjn_F</vt:lpstr>
      <vt:lpstr>FM_CFS_id_1771428920458_g06br6rjn_G</vt:lpstr>
      <vt:lpstr>FM_CFS_id_1771428920458_g06br6rjn_H</vt:lpstr>
      <vt:lpstr>FM_CFS_id_1771428946050_afi3mb9kb_B</vt:lpstr>
      <vt:lpstr>FM_CFS_id_1771428946050_afi3mb9kb_C</vt:lpstr>
      <vt:lpstr>FM_CFS_id_1771428946050_afi3mb9kb_D</vt:lpstr>
      <vt:lpstr>FM_CFS_id_1771428946050_afi3mb9kb_E</vt:lpstr>
      <vt:lpstr>FM_CFS_id_1771428946050_afi3mb9kb_F</vt:lpstr>
      <vt:lpstr>FM_CFS_id_1771428946050_afi3mb9kb_G</vt:lpstr>
      <vt:lpstr>FM_CFS_id_1771428946050_afi3mb9kb_H</vt:lpstr>
      <vt:lpstr>FM_CFS_id_1771428966555_ovnjkj9s9_B</vt:lpstr>
      <vt:lpstr>FM_CFS_id_1771428966555_ovnjkj9s9_C</vt:lpstr>
      <vt:lpstr>FM_CFS_id_1771428966555_ovnjkj9s9_D</vt:lpstr>
      <vt:lpstr>FM_CFS_id_1771428966555_ovnjkj9s9_E</vt:lpstr>
      <vt:lpstr>FM_CFS_id_1771428966555_ovnjkj9s9_F</vt:lpstr>
      <vt:lpstr>FM_CFS_id_1771428966555_ovnjkj9s9_G</vt:lpstr>
      <vt:lpstr>FM_CFS_id_1771428966555_ovnjkj9s9_H</vt:lpstr>
      <vt:lpstr>FM_CFS_id_1771430083743_61t4goaev_B</vt:lpstr>
      <vt:lpstr>FM_CFS_id_1771430083743_61t4goaev_C</vt:lpstr>
      <vt:lpstr>FM_CFS_id_1771430083743_61t4goaev_D</vt:lpstr>
      <vt:lpstr>FM_CFS_id_1771430083743_61t4goaev_E</vt:lpstr>
      <vt:lpstr>FM_CFS_id_1771430083743_61t4goaev_F</vt:lpstr>
      <vt:lpstr>FM_CFS_id_1771430083743_61t4goaev_G</vt:lpstr>
      <vt:lpstr>FM_CFS_id_1771430083743_61t4goaev_H</vt:lpstr>
      <vt:lpstr>FM_CFS_id_1771430988199_pjs7gqnl7_B</vt:lpstr>
      <vt:lpstr>FM_CFS_id_1771430988199_pjs7gqnl7_C</vt:lpstr>
      <vt:lpstr>FM_CFS_id_1771430988199_pjs7gqnl7_D</vt:lpstr>
      <vt:lpstr>FM_CFS_id_1771430988199_pjs7gqnl7_E</vt:lpstr>
      <vt:lpstr>FM_CFS_id_1771430988199_pjs7gqnl7_F</vt:lpstr>
      <vt:lpstr>FM_CFS_id_1771430988199_pjs7gqnl7_G</vt:lpstr>
      <vt:lpstr>FM_CFS_id_1771430988199_pjs7gqnl7_H</vt:lpstr>
      <vt:lpstr>FM_CFS_id_1771431004679_cz46ze7y6_B</vt:lpstr>
      <vt:lpstr>FM_CFS_id_1771431004679_cz46ze7y6_C</vt:lpstr>
      <vt:lpstr>FM_CFS_id_1771431004679_cz46ze7y6_D</vt:lpstr>
      <vt:lpstr>FM_CFS_id_1771431004679_cz46ze7y6_E</vt:lpstr>
      <vt:lpstr>FM_CFS_id_1771431004679_cz46ze7y6_F</vt:lpstr>
      <vt:lpstr>FM_CFS_id_1771431004679_cz46ze7y6_G</vt:lpstr>
      <vt:lpstr>FM_CFS_id_1771431004679_cz46ze7y6_H</vt:lpstr>
      <vt:lpstr>FM_CFS_id_1771431012979_rm61128jv_B</vt:lpstr>
      <vt:lpstr>FM_CFS_id_1771431012979_rm61128jv_C</vt:lpstr>
      <vt:lpstr>FM_CFS_id_1771431012979_rm61128jv_D</vt:lpstr>
      <vt:lpstr>FM_CFS_id_1771431012979_rm61128jv_E</vt:lpstr>
      <vt:lpstr>FM_CFS_id_1771431012979_rm61128jv_F</vt:lpstr>
      <vt:lpstr>FM_CFS_id_1771431012979_rm61128jv_G</vt:lpstr>
      <vt:lpstr>FM_CFS_id_1771431012979_rm61128jv_H</vt:lpstr>
      <vt:lpstr>FM_CFS_id_1771431036181_zvzg0efid_B</vt:lpstr>
      <vt:lpstr>FM_CFS_id_1771431036181_zvzg0efid_C</vt:lpstr>
      <vt:lpstr>FM_CFS_id_1771431036181_zvzg0efid_D</vt:lpstr>
      <vt:lpstr>FM_CFS_id_1771431036181_zvzg0efid_E</vt:lpstr>
      <vt:lpstr>FM_CFS_id_1771431036181_zvzg0efid_F</vt:lpstr>
      <vt:lpstr>FM_CFS_id_1771431036181_zvzg0efid_G</vt:lpstr>
      <vt:lpstr>FM_CFS_id_1771431036181_zvzg0efid_H</vt:lpstr>
      <vt:lpstr>FM_CFS_id_1771431039872_9ks8dgrmo_B</vt:lpstr>
      <vt:lpstr>FM_CFS_id_1771431039872_9ks8dgrmo_C</vt:lpstr>
      <vt:lpstr>FM_CFS_id_1771431039872_9ks8dgrmo_D</vt:lpstr>
      <vt:lpstr>FM_CFS_id_1771431039872_9ks8dgrmo_E</vt:lpstr>
      <vt:lpstr>FM_CFS_id_1771431039872_9ks8dgrmo_F</vt:lpstr>
      <vt:lpstr>FM_CFS_id_1771431039872_9ks8dgrmo_G</vt:lpstr>
      <vt:lpstr>FM_CFS_id_1771431039872_9ks8dgrmo_H</vt:lpstr>
      <vt:lpstr>FM_CFS_inventory_B</vt:lpstr>
      <vt:lpstr>FM_CFS_inventory_C</vt:lpstr>
      <vt:lpstr>FM_CFS_inventory_D</vt:lpstr>
      <vt:lpstr>FM_CFS_inventory_E</vt:lpstr>
      <vt:lpstr>FM_CFS_inventory_F</vt:lpstr>
      <vt:lpstr>FM_CFS_inventory_G</vt:lpstr>
      <vt:lpstr>FM_CFS_inventory_H</vt:lpstr>
      <vt:lpstr>FM_CFS_investing_cf_B</vt:lpstr>
      <vt:lpstr>FM_CFS_investing_cf_C</vt:lpstr>
      <vt:lpstr>FM_CFS_investing_cf_D</vt:lpstr>
      <vt:lpstr>FM_CFS_investing_cf_E</vt:lpstr>
      <vt:lpstr>FM_CFS_investing_cf_F</vt:lpstr>
      <vt:lpstr>FM_CFS_investing_cf_G</vt:lpstr>
      <vt:lpstr>FM_CFS_investing_cf_H</vt:lpstr>
      <vt:lpstr>FM_CFS_net_change_cash_B</vt:lpstr>
      <vt:lpstr>FM_CFS_net_change_cash_C</vt:lpstr>
      <vt:lpstr>FM_CFS_net_change_cash_D</vt:lpstr>
      <vt:lpstr>FM_CFS_net_change_cash_E</vt:lpstr>
      <vt:lpstr>FM_CFS_net_change_cash_F</vt:lpstr>
      <vt:lpstr>FM_CFS_net_change_cash_G</vt:lpstr>
      <vt:lpstr>FM_CFS_net_change_cash_H</vt:lpstr>
      <vt:lpstr>FM_CFS_net_income_B</vt:lpstr>
      <vt:lpstr>FM_CFS_net_income_C</vt:lpstr>
      <vt:lpstr>FM_CFS_net_income_D</vt:lpstr>
      <vt:lpstr>FM_CFS_net_income_E</vt:lpstr>
      <vt:lpstr>FM_CFS_net_income_F</vt:lpstr>
      <vt:lpstr>FM_CFS_net_income_G</vt:lpstr>
      <vt:lpstr>FM_CFS_net_income_H</vt:lpstr>
      <vt:lpstr>FM_CFS_operating_cf_B</vt:lpstr>
      <vt:lpstr>FM_CFS_operating_cf_C</vt:lpstr>
      <vt:lpstr>FM_CFS_operating_cf_D</vt:lpstr>
      <vt:lpstr>FM_CFS_operating_cf_E</vt:lpstr>
      <vt:lpstr>FM_CFS_operating_cf_F</vt:lpstr>
      <vt:lpstr>FM_CFS_operating_cf_G</vt:lpstr>
      <vt:lpstr>FM_CFS_operating_cf_H</vt:lpstr>
      <vt:lpstr>FM_CFS_other_ca_B</vt:lpstr>
      <vt:lpstr>FM_CFS_other_ca_C</vt:lpstr>
      <vt:lpstr>FM_CFS_other_ca_D</vt:lpstr>
      <vt:lpstr>FM_CFS_other_ca_E</vt:lpstr>
      <vt:lpstr>FM_CFS_other_ca_F</vt:lpstr>
      <vt:lpstr>FM_CFS_other_ca_G</vt:lpstr>
      <vt:lpstr>FM_CFS_other_ca_H</vt:lpstr>
      <vt:lpstr>FM_CFS_other_cl_B</vt:lpstr>
      <vt:lpstr>FM_CFS_other_cl_C</vt:lpstr>
      <vt:lpstr>FM_CFS_other_cl_D</vt:lpstr>
      <vt:lpstr>FM_CFS_other_cl_E</vt:lpstr>
      <vt:lpstr>FM_CFS_other_cl_F</vt:lpstr>
      <vt:lpstr>FM_CFS_other_cl_G</vt:lpstr>
      <vt:lpstr>FM_CFS_other_cl_H</vt:lpstr>
      <vt:lpstr>FM_CFS_sbc_B</vt:lpstr>
      <vt:lpstr>FM_CFS_sbc_C</vt:lpstr>
      <vt:lpstr>FM_CFS_sbc_D</vt:lpstr>
      <vt:lpstr>FM_CFS_sbc_E</vt:lpstr>
      <vt:lpstr>FM_CFS_sbc_F</vt:lpstr>
      <vt:lpstr>FM_CFS_sbc_G</vt:lpstr>
      <vt:lpstr>FM_CFS_sbc_H</vt:lpstr>
      <vt:lpstr>FM_CFS_wc_change_B</vt:lpstr>
      <vt:lpstr>FM_CFS_wc_change_C</vt:lpstr>
      <vt:lpstr>FM_CFS_wc_change_D</vt:lpstr>
      <vt:lpstr>FM_CFS_wc_change_E</vt:lpstr>
      <vt:lpstr>FM_CFS_wc_change_F</vt:lpstr>
      <vt:lpstr>FM_CFS_wc_change_G</vt:lpstr>
      <vt:lpstr>FM_CFS_wc_change_H</vt:lpstr>
      <vt:lpstr>FM_IS_cogs_B</vt:lpstr>
      <vt:lpstr>FM_IS_cogs_C</vt:lpstr>
      <vt:lpstr>FM_IS_cogs_D</vt:lpstr>
      <vt:lpstr>FM_IS_cogs_E</vt:lpstr>
      <vt:lpstr>FM_IS_cogs_F</vt:lpstr>
      <vt:lpstr>FM_IS_cogs_G</vt:lpstr>
      <vt:lpstr>FM_IS_cogs_H</vt:lpstr>
      <vt:lpstr>FM_IS_ebit_B</vt:lpstr>
      <vt:lpstr>FM_IS_ebit_C</vt:lpstr>
      <vt:lpstr>FM_IS_ebit_D</vt:lpstr>
      <vt:lpstr>FM_IS_ebit_E</vt:lpstr>
      <vt:lpstr>FM_IS_ebit_F</vt:lpstr>
      <vt:lpstr>FM_IS_ebit_G</vt:lpstr>
      <vt:lpstr>FM_IS_ebit_H</vt:lpstr>
      <vt:lpstr>FM_IS_ebit_margin_B</vt:lpstr>
      <vt:lpstr>FM_IS_ebit_margin_C</vt:lpstr>
      <vt:lpstr>FM_IS_ebit_margin_D</vt:lpstr>
      <vt:lpstr>FM_IS_ebit_margin_E</vt:lpstr>
      <vt:lpstr>FM_IS_ebit_margin_F</vt:lpstr>
      <vt:lpstr>FM_IS_ebit_margin_G</vt:lpstr>
      <vt:lpstr>FM_IS_ebit_margin_H</vt:lpstr>
      <vt:lpstr>FM_IS_ebt_B</vt:lpstr>
      <vt:lpstr>FM_IS_ebt_C</vt:lpstr>
      <vt:lpstr>FM_IS_ebt_D</vt:lpstr>
      <vt:lpstr>FM_IS_ebt_E</vt:lpstr>
      <vt:lpstr>FM_IS_ebt_F</vt:lpstr>
      <vt:lpstr>FM_IS_ebt_G</vt:lpstr>
      <vt:lpstr>FM_IS_ebt_H</vt:lpstr>
      <vt:lpstr>FM_IS_gross_margin_B</vt:lpstr>
      <vt:lpstr>FM_IS_gross_margin_C</vt:lpstr>
      <vt:lpstr>FM_IS_gross_margin_D</vt:lpstr>
      <vt:lpstr>FM_IS_gross_margin_E</vt:lpstr>
      <vt:lpstr>FM_IS_gross_margin_F</vt:lpstr>
      <vt:lpstr>FM_IS_gross_margin_G</vt:lpstr>
      <vt:lpstr>FM_IS_gross_margin_H</vt:lpstr>
      <vt:lpstr>FM_IS_gross_profit_B</vt:lpstr>
      <vt:lpstr>FM_IS_gross_profit_C</vt:lpstr>
      <vt:lpstr>FM_IS_gross_profit_D</vt:lpstr>
      <vt:lpstr>FM_IS_gross_profit_E</vt:lpstr>
      <vt:lpstr>FM_IS_gross_profit_F</vt:lpstr>
      <vt:lpstr>FM_IS_gross_profit_G</vt:lpstr>
      <vt:lpstr>FM_IS_gross_profit_H</vt:lpstr>
      <vt:lpstr>FM_IS_id_5f4ef998193e5_1769919098857_B</vt:lpstr>
      <vt:lpstr>FM_IS_id_5f4ef998193e5_1769919098857_C</vt:lpstr>
      <vt:lpstr>FM_IS_id_5f4ef998193e5_1769919098857_D</vt:lpstr>
      <vt:lpstr>FM_IS_id_5f4ef998193e5_1769919098857_E</vt:lpstr>
      <vt:lpstr>FM_IS_id_5f4ef998193e5_1769919098857_F</vt:lpstr>
      <vt:lpstr>FM_IS_id_5f4ef998193e5_1769919098857_G</vt:lpstr>
      <vt:lpstr>FM_IS_id_5f4ef998193e5_1769919098857_H</vt:lpstr>
      <vt:lpstr>FM_IS_id_6e25c0c0ed1778_1769919367840_B</vt:lpstr>
      <vt:lpstr>FM_IS_id_6e25c0c0ed1778_1769919367840_C</vt:lpstr>
      <vt:lpstr>FM_IS_id_6e25c0c0ed1778_1769919367840_D</vt:lpstr>
      <vt:lpstr>FM_IS_id_6e25c0c0ed1778_1769919367840_E</vt:lpstr>
      <vt:lpstr>FM_IS_id_6e25c0c0ed1778_1769919367840_F</vt:lpstr>
      <vt:lpstr>FM_IS_id_6e25c0c0ed1778_1769919367840_G</vt:lpstr>
      <vt:lpstr>FM_IS_id_6e25c0c0ed1778_1769919367840_H</vt:lpstr>
      <vt:lpstr>FM_IS_id_a3b0136aee49f8_1769919326158_B</vt:lpstr>
      <vt:lpstr>FM_IS_id_a3b0136aee49f8_1769919326158_C</vt:lpstr>
      <vt:lpstr>FM_IS_id_a3b0136aee49f8_1769919326158_D</vt:lpstr>
      <vt:lpstr>FM_IS_id_a3b0136aee49f8_1769919326158_E</vt:lpstr>
      <vt:lpstr>FM_IS_id_a3b0136aee49f8_1769919326158_F</vt:lpstr>
      <vt:lpstr>FM_IS_id_a3b0136aee49f8_1769919326158_G</vt:lpstr>
      <vt:lpstr>FM_IS_id_a3b0136aee49f8_1769919326158_H</vt:lpstr>
      <vt:lpstr>FM_IS_id_ae335ad71f8b3_1769919098873_B</vt:lpstr>
      <vt:lpstr>FM_IS_id_ae335ad71f8b3_1769919098873_C</vt:lpstr>
      <vt:lpstr>FM_IS_id_ae335ad71f8b3_1769919098873_D</vt:lpstr>
      <vt:lpstr>FM_IS_id_ae335ad71f8b3_1769919098873_E</vt:lpstr>
      <vt:lpstr>FM_IS_id_ae335ad71f8b3_1769919098873_F</vt:lpstr>
      <vt:lpstr>FM_IS_id_ae335ad71f8b3_1769919098873_G</vt:lpstr>
      <vt:lpstr>FM_IS_id_ae335ad71f8b3_1769919098873_H</vt:lpstr>
      <vt:lpstr>FM_IS_id_b3a950f679ed8_1769919133416_B</vt:lpstr>
      <vt:lpstr>FM_IS_id_b3a950f679ed8_1769919133416_C</vt:lpstr>
      <vt:lpstr>FM_IS_id_b3a950f679ed8_1769919133416_D</vt:lpstr>
      <vt:lpstr>FM_IS_id_b3a950f679ed8_1769919133416_E</vt:lpstr>
      <vt:lpstr>FM_IS_id_b3a950f679ed8_1769919133416_F</vt:lpstr>
      <vt:lpstr>FM_IS_id_b3a950f679ed8_1769919133416_G</vt:lpstr>
      <vt:lpstr>FM_IS_id_b3a950f679ed8_1769919133416_H</vt:lpstr>
      <vt:lpstr>FM_IS_id_cb758e4a957468_1769919339151_B</vt:lpstr>
      <vt:lpstr>FM_IS_id_cb758e4a957468_1769919339151_C</vt:lpstr>
      <vt:lpstr>FM_IS_id_cb758e4a957468_1769919339151_D</vt:lpstr>
      <vt:lpstr>FM_IS_id_cb758e4a957468_1769919339151_E</vt:lpstr>
      <vt:lpstr>FM_IS_id_cb758e4a957468_1769919339151_F</vt:lpstr>
      <vt:lpstr>FM_IS_id_cb758e4a957468_1769919339151_G</vt:lpstr>
      <vt:lpstr>FM_IS_id_cb758e4a957468_1769919339151_H</vt:lpstr>
      <vt:lpstr>FM_IS_id_da10ab5b16bae8_1769919353328_B</vt:lpstr>
      <vt:lpstr>FM_IS_id_da10ab5b16bae8_1769919353328_C</vt:lpstr>
      <vt:lpstr>FM_IS_id_da10ab5b16bae8_1769919353328_D</vt:lpstr>
      <vt:lpstr>FM_IS_id_da10ab5b16bae8_1769919353328_E</vt:lpstr>
      <vt:lpstr>FM_IS_id_da10ab5b16bae8_1769919353328_F</vt:lpstr>
      <vt:lpstr>FM_IS_id_da10ab5b16bae8_1769919353328_G</vt:lpstr>
      <vt:lpstr>FM_IS_id_da10ab5b16bae8_1769919353328_H</vt:lpstr>
      <vt:lpstr>FM_IS_id_f1d03057ac5e28_1769919133420_B</vt:lpstr>
      <vt:lpstr>FM_IS_id_f1d03057ac5e28_1769919133420_C</vt:lpstr>
      <vt:lpstr>FM_IS_id_f1d03057ac5e28_1769919133420_D</vt:lpstr>
      <vt:lpstr>FM_IS_id_f1d03057ac5e28_1769919133420_E</vt:lpstr>
      <vt:lpstr>FM_IS_id_f1d03057ac5e28_1769919133420_F</vt:lpstr>
      <vt:lpstr>FM_IS_id_f1d03057ac5e28_1769919133420_G</vt:lpstr>
      <vt:lpstr>FM_IS_id_f1d03057ac5e28_1769919133420_H</vt:lpstr>
      <vt:lpstr>FM_IS_interest_expense_B</vt:lpstr>
      <vt:lpstr>FM_IS_interest_expense_C</vt:lpstr>
      <vt:lpstr>FM_IS_interest_expense_D</vt:lpstr>
      <vt:lpstr>FM_IS_interest_expense_E</vt:lpstr>
      <vt:lpstr>FM_IS_interest_expense_F</vt:lpstr>
      <vt:lpstr>FM_IS_interest_expense_G</vt:lpstr>
      <vt:lpstr>FM_IS_interest_expense_H</vt:lpstr>
      <vt:lpstr>FM_IS_interest_income_B</vt:lpstr>
      <vt:lpstr>FM_IS_interest_income_C</vt:lpstr>
      <vt:lpstr>FM_IS_interest_income_D</vt:lpstr>
      <vt:lpstr>FM_IS_interest_income_E</vt:lpstr>
      <vt:lpstr>FM_IS_interest_income_F</vt:lpstr>
      <vt:lpstr>FM_IS_interest_income_G</vt:lpstr>
      <vt:lpstr>FM_IS_interest_income_H</vt:lpstr>
      <vt:lpstr>FM_IS_is_1769921646914_43p8ji241_B</vt:lpstr>
      <vt:lpstr>FM_IS_is_1769921646914_43p8ji241_C</vt:lpstr>
      <vt:lpstr>FM_IS_is_1769921646914_43p8ji241_D</vt:lpstr>
      <vt:lpstr>FM_IS_is_1769921646914_43p8ji241_E</vt:lpstr>
      <vt:lpstr>FM_IS_is_1769921646914_43p8ji241_F</vt:lpstr>
      <vt:lpstr>FM_IS_is_1769921646914_43p8ji241_G</vt:lpstr>
      <vt:lpstr>FM_IS_is_1769921646914_43p8ji241_H</vt:lpstr>
      <vt:lpstr>FM_IS_net_income_B</vt:lpstr>
      <vt:lpstr>FM_IS_net_income_C</vt:lpstr>
      <vt:lpstr>FM_IS_net_income_D</vt:lpstr>
      <vt:lpstr>FM_IS_net_income_E</vt:lpstr>
      <vt:lpstr>FM_IS_net_income_F</vt:lpstr>
      <vt:lpstr>FM_IS_net_income_G</vt:lpstr>
      <vt:lpstr>FM_IS_net_income_H</vt:lpstr>
      <vt:lpstr>FM_IS_net_income_margin_B</vt:lpstr>
      <vt:lpstr>FM_IS_net_income_margin_C</vt:lpstr>
      <vt:lpstr>FM_IS_net_income_margin_D</vt:lpstr>
      <vt:lpstr>FM_IS_net_income_margin_E</vt:lpstr>
      <vt:lpstr>FM_IS_net_income_margin_F</vt:lpstr>
      <vt:lpstr>FM_IS_net_income_margin_G</vt:lpstr>
      <vt:lpstr>FM_IS_net_income_margin_H</vt:lpstr>
      <vt:lpstr>FM_IS_other_income_B</vt:lpstr>
      <vt:lpstr>FM_IS_other_income_C</vt:lpstr>
      <vt:lpstr>FM_IS_other_income_D</vt:lpstr>
      <vt:lpstr>FM_IS_other_income_E</vt:lpstr>
      <vt:lpstr>FM_IS_other_income_F</vt:lpstr>
      <vt:lpstr>FM_IS_other_income_G</vt:lpstr>
      <vt:lpstr>FM_IS_other_income_H</vt:lpstr>
      <vt:lpstr>FM_IS_rev_B</vt:lpstr>
      <vt:lpstr>FM_IS_rev_C</vt:lpstr>
      <vt:lpstr>FM_IS_rev_D</vt:lpstr>
      <vt:lpstr>FM_IS_rev_E</vt:lpstr>
      <vt:lpstr>FM_IS_rev_F</vt:lpstr>
      <vt:lpstr>FM_IS_rev_G</vt:lpstr>
      <vt:lpstr>FM_IS_rev_H</vt:lpstr>
      <vt:lpstr>FM_IS_sga_B</vt:lpstr>
      <vt:lpstr>FM_IS_sga_C</vt:lpstr>
      <vt:lpstr>FM_IS_sga_D</vt:lpstr>
      <vt:lpstr>FM_IS_sga_E</vt:lpstr>
      <vt:lpstr>FM_IS_sga_F</vt:lpstr>
      <vt:lpstr>FM_IS_sga_G</vt:lpstr>
      <vt:lpstr>FM_IS_sga_H</vt:lpstr>
      <vt:lpstr>FM_IS_tax_B</vt:lpstr>
      <vt:lpstr>FM_IS_tax_C</vt:lpstr>
      <vt:lpstr>FM_IS_tax_D</vt:lpstr>
      <vt:lpstr>FM_IS_tax_E</vt:lpstr>
      <vt:lpstr>FM_IS_tax_F</vt:lpstr>
      <vt:lpstr>FM_IS_tax_G</vt:lpstr>
      <vt:lpstr>FM_IS_tax_H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2026-02-18T18:02:10Z</dcterms:created>
  <dcterms:modified xsi:type="dcterms:W3CDTF">2026-02-18T18:05:21Z</dcterms:modified>
  <cp:category/>
</cp:coreProperties>
</file>